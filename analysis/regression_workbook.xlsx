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8_{1F1B3E67-F2E6-4662-B97B-CFCC220F126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Original data" sheetId="1" r:id="rId1"/>
    <sheet name="Cleaned data" sheetId="3" r:id="rId2"/>
    <sheet name="Simple_Regression_Output" sheetId="6" r:id="rId3"/>
    <sheet name="Dummy variables" sheetId="4" r:id="rId4"/>
    <sheet name="Multiple regression" sheetId="8" r:id="rId5"/>
    <sheet name="Sheet3" sheetId="5" r:id="rId6"/>
    <sheet name="Predictions_Residuals" sheetId="7" r:id="rId7"/>
    <sheet name="Model comparsion" sheetId="9" r:id="rId8"/>
    <sheet name="Sheet9" sheetId="11" r:id="rId9"/>
    <sheet name="Sheet8" sheetId="10" r:id="rId10"/>
    <sheet name="data_dictionary" sheetId="2" r:id="rId11"/>
  </sheets>
  <calcPr calcId="191029"/>
</workbook>
</file>

<file path=xl/calcChain.xml><?xml version="1.0" encoding="utf-8"?>
<calcChain xmlns="http://schemas.openxmlformats.org/spreadsheetml/2006/main">
  <c r="K282" i="11" l="1"/>
  <c r="K299" i="11"/>
  <c r="J3" i="11"/>
  <c r="K3" i="11" s="1"/>
  <c r="J4" i="11"/>
  <c r="K4" i="11" s="1"/>
  <c r="J5" i="11"/>
  <c r="K5" i="11" s="1"/>
  <c r="J6" i="11"/>
  <c r="K6" i="11" s="1"/>
  <c r="J7" i="11"/>
  <c r="K7" i="11" s="1"/>
  <c r="J8" i="11"/>
  <c r="K8" i="11" s="1"/>
  <c r="J9" i="11"/>
  <c r="K9" i="11" s="1"/>
  <c r="J10" i="11"/>
  <c r="K10" i="11" s="1"/>
  <c r="J11" i="11"/>
  <c r="K11" i="11" s="1"/>
  <c r="J12" i="11"/>
  <c r="K12" i="11" s="1"/>
  <c r="J13" i="11"/>
  <c r="K13" i="11" s="1"/>
  <c r="J14" i="11"/>
  <c r="K14" i="11" s="1"/>
  <c r="J15" i="11"/>
  <c r="K15" i="11" s="1"/>
  <c r="J16" i="11"/>
  <c r="K16" i="11" s="1"/>
  <c r="J17" i="11"/>
  <c r="K17" i="11" s="1"/>
  <c r="J18" i="11"/>
  <c r="K18" i="11" s="1"/>
  <c r="J19" i="11"/>
  <c r="K19" i="11" s="1"/>
  <c r="J20" i="11"/>
  <c r="K20" i="11" s="1"/>
  <c r="J21" i="11"/>
  <c r="K21" i="11" s="1"/>
  <c r="J22" i="11"/>
  <c r="K22" i="11" s="1"/>
  <c r="J23" i="11"/>
  <c r="K23" i="11" s="1"/>
  <c r="J24" i="11"/>
  <c r="K24" i="11" s="1"/>
  <c r="J25" i="11"/>
  <c r="K25" i="11" s="1"/>
  <c r="J26" i="11"/>
  <c r="K26" i="11" s="1"/>
  <c r="J27" i="11"/>
  <c r="K27" i="11" s="1"/>
  <c r="J28" i="11"/>
  <c r="K28" i="11" s="1"/>
  <c r="J29" i="11"/>
  <c r="K29" i="11" s="1"/>
  <c r="J30" i="11"/>
  <c r="K30" i="11" s="1"/>
  <c r="J31" i="11"/>
  <c r="K31" i="11" s="1"/>
  <c r="J32" i="11"/>
  <c r="K32" i="11" s="1"/>
  <c r="J33" i="11"/>
  <c r="K33" i="11" s="1"/>
  <c r="J34" i="11"/>
  <c r="K34" i="11" s="1"/>
  <c r="J35" i="11"/>
  <c r="K35" i="11" s="1"/>
  <c r="J36" i="11"/>
  <c r="K36" i="11" s="1"/>
  <c r="J37" i="11"/>
  <c r="K37" i="11" s="1"/>
  <c r="J38" i="11"/>
  <c r="K38" i="11" s="1"/>
  <c r="J39" i="11"/>
  <c r="K39" i="11" s="1"/>
  <c r="J40" i="11"/>
  <c r="K40" i="11" s="1"/>
  <c r="J41" i="11"/>
  <c r="K41" i="11" s="1"/>
  <c r="J42" i="11"/>
  <c r="K42" i="11" s="1"/>
  <c r="J43" i="11"/>
  <c r="K43" i="11" s="1"/>
  <c r="J44" i="11"/>
  <c r="K44" i="11" s="1"/>
  <c r="J45" i="11"/>
  <c r="K45" i="11" s="1"/>
  <c r="J46" i="11"/>
  <c r="K46" i="11" s="1"/>
  <c r="J47" i="11"/>
  <c r="K47" i="11" s="1"/>
  <c r="J48" i="11"/>
  <c r="K48" i="11" s="1"/>
  <c r="J49" i="11"/>
  <c r="K49" i="11" s="1"/>
  <c r="J50" i="11"/>
  <c r="K50" i="11" s="1"/>
  <c r="J51" i="11"/>
  <c r="K51" i="11" s="1"/>
  <c r="J52" i="11"/>
  <c r="K52" i="11" s="1"/>
  <c r="J53" i="11"/>
  <c r="K53" i="11" s="1"/>
  <c r="J54" i="11"/>
  <c r="K54" i="11" s="1"/>
  <c r="J55" i="11"/>
  <c r="K55" i="11" s="1"/>
  <c r="J56" i="11"/>
  <c r="K56" i="11" s="1"/>
  <c r="J57" i="11"/>
  <c r="K57" i="11" s="1"/>
  <c r="J58" i="11"/>
  <c r="K58" i="11" s="1"/>
  <c r="J59" i="11"/>
  <c r="K59" i="11" s="1"/>
  <c r="J60" i="11"/>
  <c r="K60" i="11" s="1"/>
  <c r="J61" i="11"/>
  <c r="K61" i="11" s="1"/>
  <c r="J62" i="11"/>
  <c r="K62" i="11" s="1"/>
  <c r="J63" i="11"/>
  <c r="K63" i="11" s="1"/>
  <c r="J64" i="11"/>
  <c r="K64" i="11" s="1"/>
  <c r="J65" i="11"/>
  <c r="K65" i="11" s="1"/>
  <c r="J66" i="11"/>
  <c r="K66" i="11" s="1"/>
  <c r="J67" i="11"/>
  <c r="K67" i="11" s="1"/>
  <c r="J68" i="11"/>
  <c r="K68" i="11" s="1"/>
  <c r="J69" i="11"/>
  <c r="K69" i="11" s="1"/>
  <c r="J70" i="11"/>
  <c r="K70" i="11" s="1"/>
  <c r="J71" i="11"/>
  <c r="K71" i="11" s="1"/>
  <c r="J72" i="11"/>
  <c r="K72" i="11" s="1"/>
  <c r="J73" i="11"/>
  <c r="K73" i="11" s="1"/>
  <c r="J74" i="11"/>
  <c r="K74" i="11" s="1"/>
  <c r="J75" i="11"/>
  <c r="K75" i="11" s="1"/>
  <c r="J76" i="11"/>
  <c r="K76" i="11" s="1"/>
  <c r="J77" i="11"/>
  <c r="K77" i="11" s="1"/>
  <c r="J78" i="11"/>
  <c r="K78" i="11" s="1"/>
  <c r="J79" i="11"/>
  <c r="K79" i="11" s="1"/>
  <c r="J80" i="11"/>
  <c r="K80" i="11" s="1"/>
  <c r="J81" i="11"/>
  <c r="K81" i="11" s="1"/>
  <c r="J82" i="11"/>
  <c r="K82" i="11" s="1"/>
  <c r="J83" i="11"/>
  <c r="K83" i="11" s="1"/>
  <c r="J84" i="11"/>
  <c r="K84" i="11" s="1"/>
  <c r="J85" i="11"/>
  <c r="K85" i="11" s="1"/>
  <c r="J86" i="11"/>
  <c r="K86" i="11" s="1"/>
  <c r="J87" i="11"/>
  <c r="K87" i="11" s="1"/>
  <c r="J88" i="11"/>
  <c r="J89" i="11"/>
  <c r="K89" i="11" s="1"/>
  <c r="J90" i="11"/>
  <c r="K90" i="11" s="1"/>
  <c r="J91" i="11"/>
  <c r="K91" i="11" s="1"/>
  <c r="J92" i="11"/>
  <c r="K92" i="11" s="1"/>
  <c r="J93" i="11"/>
  <c r="K93" i="11" s="1"/>
  <c r="J94" i="11"/>
  <c r="K94" i="11" s="1"/>
  <c r="J95" i="11"/>
  <c r="K95" i="11" s="1"/>
  <c r="J96" i="11"/>
  <c r="K96" i="11" s="1"/>
  <c r="J97" i="11"/>
  <c r="K97" i="11" s="1"/>
  <c r="J98" i="11"/>
  <c r="K98" i="11" s="1"/>
  <c r="J99" i="11"/>
  <c r="K99" i="11" s="1"/>
  <c r="J100" i="11"/>
  <c r="K100" i="11" s="1"/>
  <c r="J101" i="11"/>
  <c r="J102" i="11"/>
  <c r="K102" i="11" s="1"/>
  <c r="J103" i="11"/>
  <c r="K103" i="11" s="1"/>
  <c r="J104" i="11"/>
  <c r="K104" i="11" s="1"/>
  <c r="J105" i="11"/>
  <c r="K105" i="11" s="1"/>
  <c r="J106" i="11"/>
  <c r="K106" i="11" s="1"/>
  <c r="J107" i="11"/>
  <c r="K107" i="11" s="1"/>
  <c r="J108" i="11"/>
  <c r="K108" i="11" s="1"/>
  <c r="J109" i="11"/>
  <c r="K109" i="11" s="1"/>
  <c r="J110" i="11"/>
  <c r="K110" i="11" s="1"/>
  <c r="J111" i="11"/>
  <c r="K111" i="11" s="1"/>
  <c r="J112" i="11"/>
  <c r="K112" i="11" s="1"/>
  <c r="J113" i="11"/>
  <c r="K113" i="11" s="1"/>
  <c r="J114" i="11"/>
  <c r="K114" i="11" s="1"/>
  <c r="J115" i="11"/>
  <c r="K115" i="11" s="1"/>
  <c r="J116" i="11"/>
  <c r="K116" i="11" s="1"/>
  <c r="J117" i="11"/>
  <c r="K117" i="11" s="1"/>
  <c r="J118" i="11"/>
  <c r="K118" i="11" s="1"/>
  <c r="J119" i="11"/>
  <c r="K119" i="11" s="1"/>
  <c r="J120" i="11"/>
  <c r="K120" i="11" s="1"/>
  <c r="J121" i="11"/>
  <c r="K121" i="11" s="1"/>
  <c r="J122" i="11"/>
  <c r="K122" i="11" s="1"/>
  <c r="J123" i="11"/>
  <c r="K123" i="11" s="1"/>
  <c r="J124" i="11"/>
  <c r="K124" i="11" s="1"/>
  <c r="J125" i="11"/>
  <c r="K125" i="11" s="1"/>
  <c r="J126" i="11"/>
  <c r="K126" i="11" s="1"/>
  <c r="J127" i="11"/>
  <c r="K127" i="11" s="1"/>
  <c r="J128" i="11"/>
  <c r="K128" i="11" s="1"/>
  <c r="J129" i="11"/>
  <c r="K129" i="11" s="1"/>
  <c r="J130" i="11"/>
  <c r="K130" i="11" s="1"/>
  <c r="J131" i="11"/>
  <c r="K131" i="11" s="1"/>
  <c r="J132" i="11"/>
  <c r="K132" i="11" s="1"/>
  <c r="J133" i="11"/>
  <c r="K133" i="11" s="1"/>
  <c r="J134" i="11"/>
  <c r="K134" i="11" s="1"/>
  <c r="J135" i="11"/>
  <c r="K135" i="11" s="1"/>
  <c r="J136" i="11"/>
  <c r="K136" i="11" s="1"/>
  <c r="J137" i="11"/>
  <c r="K137" i="11" s="1"/>
  <c r="J138" i="11"/>
  <c r="K138" i="11" s="1"/>
  <c r="J139" i="11"/>
  <c r="K139" i="11" s="1"/>
  <c r="J140" i="11"/>
  <c r="K140" i="11" s="1"/>
  <c r="J141" i="11"/>
  <c r="K141" i="11" s="1"/>
  <c r="J142" i="11"/>
  <c r="K142" i="11" s="1"/>
  <c r="J143" i="11"/>
  <c r="K143" i="11" s="1"/>
  <c r="J144" i="11"/>
  <c r="K144" i="11" s="1"/>
  <c r="J145" i="11"/>
  <c r="K145" i="11" s="1"/>
  <c r="J146" i="11"/>
  <c r="K146" i="11" s="1"/>
  <c r="J147" i="11"/>
  <c r="K147" i="11" s="1"/>
  <c r="J148" i="11"/>
  <c r="K148" i="11" s="1"/>
  <c r="J149" i="11"/>
  <c r="K149" i="11" s="1"/>
  <c r="J150" i="11"/>
  <c r="K150" i="11" s="1"/>
  <c r="J151" i="11"/>
  <c r="K151" i="11" s="1"/>
  <c r="J152" i="11"/>
  <c r="K152" i="11" s="1"/>
  <c r="J153" i="11"/>
  <c r="K153" i="11" s="1"/>
  <c r="J154" i="11"/>
  <c r="K154" i="11" s="1"/>
  <c r="J155" i="11"/>
  <c r="K155" i="11" s="1"/>
  <c r="J156" i="11"/>
  <c r="K156" i="11" s="1"/>
  <c r="J157" i="11"/>
  <c r="K157" i="11" s="1"/>
  <c r="J158" i="11"/>
  <c r="K158" i="11" s="1"/>
  <c r="J159" i="11"/>
  <c r="K159" i="11" s="1"/>
  <c r="F233" i="11" s="1"/>
  <c r="J233" i="11" s="1"/>
  <c r="K233" i="11" s="1"/>
  <c r="J160" i="11"/>
  <c r="K160" i="11" s="1"/>
  <c r="J161" i="11"/>
  <c r="K161" i="11" s="1"/>
  <c r="J162" i="11"/>
  <c r="K162" i="11" s="1"/>
  <c r="J163" i="11"/>
  <c r="K163" i="11" s="1"/>
  <c r="J165" i="11"/>
  <c r="K165" i="11" s="1"/>
  <c r="J166" i="11"/>
  <c r="K166" i="11" s="1"/>
  <c r="J167" i="11"/>
  <c r="K167" i="11" s="1"/>
  <c r="J168" i="11"/>
  <c r="K168" i="11" s="1"/>
  <c r="J169" i="11"/>
  <c r="K169" i="11" s="1"/>
  <c r="J170" i="11"/>
  <c r="K170" i="11" s="1"/>
  <c r="J171" i="11"/>
  <c r="K171" i="11" s="1"/>
  <c r="J172" i="11"/>
  <c r="K172" i="11" s="1"/>
  <c r="J173" i="11"/>
  <c r="K173" i="11" s="1"/>
  <c r="J174" i="11"/>
  <c r="K174" i="11" s="1"/>
  <c r="J175" i="11"/>
  <c r="K175" i="11" s="1"/>
  <c r="J176" i="11"/>
  <c r="K176" i="11" s="1"/>
  <c r="J177" i="11"/>
  <c r="K177" i="11" s="1"/>
  <c r="J178" i="11"/>
  <c r="K178" i="11" s="1"/>
  <c r="J179" i="11"/>
  <c r="K179" i="11" s="1"/>
  <c r="J180" i="11"/>
  <c r="K180" i="11" s="1"/>
  <c r="J181" i="11"/>
  <c r="K181" i="11" s="1"/>
  <c r="J182" i="11"/>
  <c r="K182" i="11" s="1"/>
  <c r="J183" i="11"/>
  <c r="K183" i="11" s="1"/>
  <c r="J184" i="11"/>
  <c r="K184" i="11" s="1"/>
  <c r="J185" i="11"/>
  <c r="K185" i="11" s="1"/>
  <c r="J186" i="11"/>
  <c r="K186" i="11" s="1"/>
  <c r="J187" i="11"/>
  <c r="K187" i="11" s="1"/>
  <c r="J188" i="11"/>
  <c r="K188" i="11" s="1"/>
  <c r="J189" i="11"/>
  <c r="K189" i="11" s="1"/>
  <c r="J190" i="11"/>
  <c r="K190" i="11" s="1"/>
  <c r="J191" i="11"/>
  <c r="K191" i="11" s="1"/>
  <c r="J192" i="11"/>
  <c r="K192" i="11" s="1"/>
  <c r="J193" i="11"/>
  <c r="K193" i="11" s="1"/>
  <c r="J194" i="11"/>
  <c r="K194" i="11" s="1"/>
  <c r="J195" i="11"/>
  <c r="K195" i="11" s="1"/>
  <c r="J196" i="11"/>
  <c r="K196" i="11" s="1"/>
  <c r="J197" i="11"/>
  <c r="K197" i="11" s="1"/>
  <c r="J198" i="11"/>
  <c r="K198" i="11" s="1"/>
  <c r="J199" i="11"/>
  <c r="K199" i="11" s="1"/>
  <c r="J200" i="11"/>
  <c r="K200" i="11" s="1"/>
  <c r="J201" i="11"/>
  <c r="K201" i="11" s="1"/>
  <c r="J202" i="11"/>
  <c r="K202" i="11" s="1"/>
  <c r="J203" i="11"/>
  <c r="K203" i="11" s="1"/>
  <c r="J204" i="11"/>
  <c r="K204" i="11" s="1"/>
  <c r="J205" i="11"/>
  <c r="K205" i="11" s="1"/>
  <c r="J206" i="11"/>
  <c r="K206" i="11" s="1"/>
  <c r="J207" i="11"/>
  <c r="K207" i="11" s="1"/>
  <c r="J208" i="11"/>
  <c r="K208" i="11" s="1"/>
  <c r="J209" i="11"/>
  <c r="K209" i="11" s="1"/>
  <c r="J210" i="11"/>
  <c r="K210" i="11" s="1"/>
  <c r="J211" i="11"/>
  <c r="K211" i="11" s="1"/>
  <c r="J212" i="11"/>
  <c r="K212" i="11" s="1"/>
  <c r="J213" i="11"/>
  <c r="K213" i="11" s="1"/>
  <c r="J214" i="11"/>
  <c r="K214" i="11" s="1"/>
  <c r="J215" i="11"/>
  <c r="K215" i="11" s="1"/>
  <c r="J216" i="11"/>
  <c r="K216" i="11" s="1"/>
  <c r="J217" i="11"/>
  <c r="K217" i="11" s="1"/>
  <c r="J218" i="11"/>
  <c r="K218" i="11" s="1"/>
  <c r="J219" i="11"/>
  <c r="K219" i="11" s="1"/>
  <c r="J220" i="11"/>
  <c r="K220" i="11" s="1"/>
  <c r="J221" i="11"/>
  <c r="K221" i="11" s="1"/>
  <c r="J222" i="11"/>
  <c r="K222" i="11" s="1"/>
  <c r="J223" i="11"/>
  <c r="K223" i="11" s="1"/>
  <c r="J224" i="11"/>
  <c r="K224" i="11" s="1"/>
  <c r="J225" i="11"/>
  <c r="K225" i="11" s="1"/>
  <c r="J226" i="11"/>
  <c r="K226" i="11" s="1"/>
  <c r="J227" i="11"/>
  <c r="K227" i="11" s="1"/>
  <c r="J228" i="11"/>
  <c r="K228" i="11" s="1"/>
  <c r="J229" i="11"/>
  <c r="K229" i="11" s="1"/>
  <c r="J230" i="11"/>
  <c r="K230" i="11" s="1"/>
  <c r="J231" i="11"/>
  <c r="K231" i="11" s="1"/>
  <c r="J232" i="11"/>
  <c r="K232" i="11" s="1"/>
  <c r="J234" i="11"/>
  <c r="K234" i="11" s="1"/>
  <c r="J235" i="11"/>
  <c r="K235" i="11" s="1"/>
  <c r="J236" i="11"/>
  <c r="K236" i="11" s="1"/>
  <c r="J237" i="11"/>
  <c r="K237" i="11" s="1"/>
  <c r="J238" i="11"/>
  <c r="K238" i="11" s="1"/>
  <c r="J239" i="11"/>
  <c r="K239" i="11" s="1"/>
  <c r="J240" i="11"/>
  <c r="K240" i="11" s="1"/>
  <c r="J241" i="11"/>
  <c r="K241" i="11" s="1"/>
  <c r="J242" i="11"/>
  <c r="K242" i="11" s="1"/>
  <c r="J243" i="11"/>
  <c r="K243" i="11" s="1"/>
  <c r="J244" i="11"/>
  <c r="K244" i="11" s="1"/>
  <c r="J245" i="11"/>
  <c r="K245" i="11" s="1"/>
  <c r="J246" i="11"/>
  <c r="K246" i="11" s="1"/>
  <c r="J247" i="11"/>
  <c r="K247" i="11" s="1"/>
  <c r="J248" i="11"/>
  <c r="K248" i="11" s="1"/>
  <c r="J249" i="11"/>
  <c r="K249" i="11" s="1"/>
  <c r="J251" i="11"/>
  <c r="K251" i="11" s="1"/>
  <c r="J252" i="11"/>
  <c r="K252" i="11" s="1"/>
  <c r="J253" i="11"/>
  <c r="K253" i="11" s="1"/>
  <c r="J254" i="11"/>
  <c r="K254" i="11" s="1"/>
  <c r="J255" i="11"/>
  <c r="K255" i="11" s="1"/>
  <c r="J256" i="11"/>
  <c r="K256" i="11" s="1"/>
  <c r="J257" i="11"/>
  <c r="K257" i="11" s="1"/>
  <c r="J258" i="11"/>
  <c r="K258" i="11" s="1"/>
  <c r="J259" i="11"/>
  <c r="K259" i="11" s="1"/>
  <c r="J260" i="11"/>
  <c r="K260" i="11" s="1"/>
  <c r="J261" i="11"/>
  <c r="K261" i="11" s="1"/>
  <c r="J262" i="11"/>
  <c r="K262" i="11" s="1"/>
  <c r="J264" i="11"/>
  <c r="K264" i="11" s="1"/>
  <c r="J265" i="11"/>
  <c r="K265" i="11" s="1"/>
  <c r="J266" i="11"/>
  <c r="K266" i="11" s="1"/>
  <c r="J267" i="11"/>
  <c r="K267" i="11" s="1"/>
  <c r="J268" i="11"/>
  <c r="K268" i="11" s="1"/>
  <c r="J269" i="11"/>
  <c r="K269" i="11" s="1"/>
  <c r="J270" i="11"/>
  <c r="K270" i="11" s="1"/>
  <c r="J271" i="11"/>
  <c r="K271" i="11" s="1"/>
  <c r="J272" i="11"/>
  <c r="K272" i="11" s="1"/>
  <c r="J273" i="11"/>
  <c r="K273" i="11" s="1"/>
  <c r="J274" i="11"/>
  <c r="K274" i="11" s="1"/>
  <c r="J275" i="11"/>
  <c r="K275" i="11" s="1"/>
  <c r="J276" i="11"/>
  <c r="K276" i="11" s="1"/>
  <c r="J277" i="11"/>
  <c r="K277" i="11" s="1"/>
  <c r="J278" i="11"/>
  <c r="K278" i="11" s="1"/>
  <c r="J279" i="11"/>
  <c r="K279" i="11" s="1"/>
  <c r="J280" i="11"/>
  <c r="K280" i="11" s="1"/>
  <c r="J281" i="11"/>
  <c r="K281" i="11" s="1"/>
  <c r="J282" i="11"/>
  <c r="J283" i="11"/>
  <c r="K283" i="11" s="1"/>
  <c r="J284" i="11"/>
  <c r="K284" i="11" s="1"/>
  <c r="J285" i="11"/>
  <c r="K285" i="11" s="1"/>
  <c r="J286" i="11"/>
  <c r="K286" i="11" s="1"/>
  <c r="J287" i="11"/>
  <c r="K287" i="11" s="1"/>
  <c r="J288" i="11"/>
  <c r="K288" i="11" s="1"/>
  <c r="J289" i="11"/>
  <c r="K289" i="11" s="1"/>
  <c r="J290" i="11"/>
  <c r="K290" i="11" s="1"/>
  <c r="J291" i="11"/>
  <c r="K291" i="11" s="1"/>
  <c r="J292" i="11"/>
  <c r="K292" i="11" s="1"/>
  <c r="J293" i="11"/>
  <c r="K293" i="11" s="1"/>
  <c r="J294" i="11"/>
  <c r="K294" i="11" s="1"/>
  <c r="J295" i="11"/>
  <c r="K295" i="11" s="1"/>
  <c r="J296" i="11"/>
  <c r="K296" i="11" s="1"/>
  <c r="J297" i="11"/>
  <c r="K297" i="11" s="1"/>
  <c r="J298" i="11"/>
  <c r="K298" i="11" s="1"/>
  <c r="J299" i="11"/>
  <c r="J300" i="11"/>
  <c r="K300" i="11" s="1"/>
  <c r="J301" i="11"/>
  <c r="K301" i="11" s="1"/>
  <c r="J302" i="11"/>
  <c r="K302" i="11" s="1"/>
  <c r="J303" i="11"/>
  <c r="K303" i="11" s="1"/>
  <c r="J304" i="11"/>
  <c r="K304" i="11" s="1"/>
  <c r="J305" i="11"/>
  <c r="K305" i="11" s="1"/>
  <c r="J306" i="11"/>
  <c r="K306" i="11" s="1"/>
  <c r="J307" i="11"/>
  <c r="K307" i="11" s="1"/>
  <c r="J308" i="11"/>
  <c r="K308" i="11" s="1"/>
  <c r="J309" i="11"/>
  <c r="K309" i="11" s="1"/>
  <c r="J310" i="11"/>
  <c r="K310" i="11" s="1"/>
  <c r="J311" i="11"/>
  <c r="K311" i="11" s="1"/>
  <c r="J312" i="11"/>
  <c r="K312" i="11" s="1"/>
  <c r="J313" i="11"/>
  <c r="K313" i="11" s="1"/>
  <c r="J314" i="11"/>
  <c r="K314" i="11" s="1"/>
  <c r="J315" i="11"/>
  <c r="K315" i="11" s="1"/>
  <c r="J316" i="11"/>
  <c r="K316" i="11" s="1"/>
  <c r="J317" i="11"/>
  <c r="K317" i="11" s="1"/>
  <c r="J318" i="11"/>
  <c r="K318" i="11" s="1"/>
  <c r="J319" i="11"/>
  <c r="K319" i="11" s="1"/>
  <c r="J320" i="11"/>
  <c r="K320" i="11" s="1"/>
  <c r="J321" i="11"/>
  <c r="K321" i="11" s="1"/>
  <c r="J2" i="11"/>
  <c r="K2" i="11" s="1"/>
  <c r="H315" i="11"/>
  <c r="H313" i="11"/>
  <c r="H229" i="11"/>
  <c r="H197" i="11"/>
  <c r="H138" i="11"/>
  <c r="H135" i="11"/>
  <c r="H87" i="11"/>
  <c r="F73" i="11"/>
  <c r="H35" i="11"/>
  <c r="L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69" i="7"/>
  <c r="L70" i="7"/>
  <c r="L71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6" i="7"/>
  <c r="L87" i="7"/>
  <c r="L88" i="7"/>
  <c r="L89" i="7"/>
  <c r="L90" i="7"/>
  <c r="L91" i="7"/>
  <c r="L92" i="7"/>
  <c r="L93" i="7"/>
  <c r="L94" i="7"/>
  <c r="L95" i="7"/>
  <c r="L96" i="7"/>
  <c r="L97" i="7"/>
  <c r="L98" i="7"/>
  <c r="L99" i="7"/>
  <c r="L100" i="7"/>
  <c r="L101" i="7"/>
  <c r="L102" i="7"/>
  <c r="L103" i="7"/>
  <c r="L104" i="7"/>
  <c r="L105" i="7"/>
  <c r="L106" i="7"/>
  <c r="L107" i="7"/>
  <c r="L108" i="7"/>
  <c r="L109" i="7"/>
  <c r="L110" i="7"/>
  <c r="L111" i="7"/>
  <c r="L112" i="7"/>
  <c r="L113" i="7"/>
  <c r="L114" i="7"/>
  <c r="L115" i="7"/>
  <c r="L116" i="7"/>
  <c r="L117" i="7"/>
  <c r="L118" i="7"/>
  <c r="L119" i="7"/>
  <c r="L120" i="7"/>
  <c r="L121" i="7"/>
  <c r="L122" i="7"/>
  <c r="L123" i="7"/>
  <c r="L124" i="7"/>
  <c r="L125" i="7"/>
  <c r="L126" i="7"/>
  <c r="L127" i="7"/>
  <c r="L128" i="7"/>
  <c r="L129" i="7"/>
  <c r="L130" i="7"/>
  <c r="L131" i="7"/>
  <c r="L132" i="7"/>
  <c r="L133" i="7"/>
  <c r="L134" i="7"/>
  <c r="L135" i="7"/>
  <c r="L136" i="7"/>
  <c r="L137" i="7"/>
  <c r="L138" i="7"/>
  <c r="L139" i="7"/>
  <c r="L140" i="7"/>
  <c r="L141" i="7"/>
  <c r="L142" i="7"/>
  <c r="L143" i="7"/>
  <c r="L144" i="7"/>
  <c r="L145" i="7"/>
  <c r="L146" i="7"/>
  <c r="L147" i="7"/>
  <c r="L148" i="7"/>
  <c r="L149" i="7"/>
  <c r="L150" i="7"/>
  <c r="L151" i="7"/>
  <c r="L152" i="7"/>
  <c r="L153" i="7"/>
  <c r="L154" i="7"/>
  <c r="L155" i="7"/>
  <c r="L156" i="7"/>
  <c r="L157" i="7"/>
  <c r="L158" i="7"/>
  <c r="L159" i="7"/>
  <c r="L160" i="7"/>
  <c r="L161" i="7"/>
  <c r="L162" i="7"/>
  <c r="L163" i="7"/>
  <c r="L164" i="7"/>
  <c r="L165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0" i="7"/>
  <c r="L181" i="7"/>
  <c r="L182" i="7"/>
  <c r="L183" i="7"/>
  <c r="L184" i="7"/>
  <c r="L185" i="7"/>
  <c r="L186" i="7"/>
  <c r="L187" i="7"/>
  <c r="L188" i="7"/>
  <c r="L189" i="7"/>
  <c r="L190" i="7"/>
  <c r="L191" i="7"/>
  <c r="L192" i="7"/>
  <c r="L193" i="7"/>
  <c r="L194" i="7"/>
  <c r="L195" i="7"/>
  <c r="L196" i="7"/>
  <c r="L197" i="7"/>
  <c r="L198" i="7"/>
  <c r="L199" i="7"/>
  <c r="L200" i="7"/>
  <c r="L201" i="7"/>
  <c r="L202" i="7"/>
  <c r="L203" i="7"/>
  <c r="L204" i="7"/>
  <c r="L205" i="7"/>
  <c r="L206" i="7"/>
  <c r="L207" i="7"/>
  <c r="L208" i="7"/>
  <c r="L209" i="7"/>
  <c r="L210" i="7"/>
  <c r="L211" i="7"/>
  <c r="L212" i="7"/>
  <c r="L213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6" i="7"/>
  <c r="L227" i="7"/>
  <c r="L228" i="7"/>
  <c r="L229" i="7"/>
  <c r="L230" i="7"/>
  <c r="L231" i="7"/>
  <c r="L232" i="7"/>
  <c r="L233" i="7"/>
  <c r="L234" i="7"/>
  <c r="L235" i="7"/>
  <c r="L236" i="7"/>
  <c r="L237" i="7"/>
  <c r="L238" i="7"/>
  <c r="L239" i="7"/>
  <c r="L240" i="7"/>
  <c r="L241" i="7"/>
  <c r="L242" i="7"/>
  <c r="L243" i="7"/>
  <c r="L244" i="7"/>
  <c r="L245" i="7"/>
  <c r="L246" i="7"/>
  <c r="L247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1" i="7"/>
  <c r="L272" i="7"/>
  <c r="L273" i="7"/>
  <c r="L274" i="7"/>
  <c r="L275" i="7"/>
  <c r="L276" i="7"/>
  <c r="L277" i="7"/>
  <c r="L278" i="7"/>
  <c r="L279" i="7"/>
  <c r="L280" i="7"/>
  <c r="L281" i="7"/>
  <c r="L282" i="7"/>
  <c r="L283" i="7"/>
  <c r="L284" i="7"/>
  <c r="L285" i="7"/>
  <c r="L286" i="7"/>
  <c r="L287" i="7"/>
  <c r="L288" i="7"/>
  <c r="L289" i="7"/>
  <c r="L290" i="7"/>
  <c r="L291" i="7"/>
  <c r="L292" i="7"/>
  <c r="L293" i="7"/>
  <c r="L294" i="7"/>
  <c r="L295" i="7"/>
  <c r="L296" i="7"/>
  <c r="L297" i="7"/>
  <c r="L298" i="7"/>
  <c r="L299" i="7"/>
  <c r="L300" i="7"/>
  <c r="L301" i="7"/>
  <c r="L302" i="7"/>
  <c r="L303" i="7"/>
  <c r="L304" i="7"/>
  <c r="L305" i="7"/>
  <c r="L306" i="7"/>
  <c r="L307" i="7"/>
  <c r="L308" i="7"/>
  <c r="L309" i="7"/>
  <c r="L310" i="7"/>
  <c r="L311" i="7"/>
  <c r="L312" i="7"/>
  <c r="L313" i="7"/>
  <c r="L314" i="7"/>
  <c r="L315" i="7"/>
  <c r="L316" i="7"/>
  <c r="L317" i="7"/>
  <c r="L318" i="7"/>
  <c r="L319" i="7"/>
  <c r="L320" i="7"/>
  <c r="L321" i="7"/>
  <c r="L2" i="7"/>
  <c r="K3" i="7"/>
  <c r="K4" i="7"/>
  <c r="K5" i="7"/>
  <c r="K6" i="7"/>
  <c r="K7" i="7"/>
  <c r="K8" i="7"/>
  <c r="K9" i="7"/>
  <c r="K10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33" i="7"/>
  <c r="K34" i="7"/>
  <c r="K35" i="7"/>
  <c r="K36" i="7"/>
  <c r="K37" i="7"/>
  <c r="K38" i="7"/>
  <c r="K39" i="7"/>
  <c r="K40" i="7"/>
  <c r="K41" i="7"/>
  <c r="K42" i="7"/>
  <c r="K43" i="7"/>
  <c r="K44" i="7"/>
  <c r="K45" i="7"/>
  <c r="K46" i="7"/>
  <c r="K47" i="7"/>
  <c r="K48" i="7"/>
  <c r="K49" i="7"/>
  <c r="K50" i="7"/>
  <c r="K51" i="7"/>
  <c r="K52" i="7"/>
  <c r="K53" i="7"/>
  <c r="K54" i="7"/>
  <c r="K55" i="7"/>
  <c r="K56" i="7"/>
  <c r="K57" i="7"/>
  <c r="K58" i="7"/>
  <c r="K59" i="7"/>
  <c r="K60" i="7"/>
  <c r="K61" i="7"/>
  <c r="K62" i="7"/>
  <c r="K63" i="7"/>
  <c r="K64" i="7"/>
  <c r="K65" i="7"/>
  <c r="K66" i="7"/>
  <c r="K67" i="7"/>
  <c r="K68" i="7"/>
  <c r="K69" i="7"/>
  <c r="K70" i="7"/>
  <c r="K71" i="7"/>
  <c r="K72" i="7"/>
  <c r="K73" i="7"/>
  <c r="K74" i="7"/>
  <c r="K75" i="7"/>
  <c r="K76" i="7"/>
  <c r="K77" i="7"/>
  <c r="K78" i="7"/>
  <c r="K79" i="7"/>
  <c r="K80" i="7"/>
  <c r="K81" i="7"/>
  <c r="K82" i="7"/>
  <c r="K83" i="7"/>
  <c r="K84" i="7"/>
  <c r="K85" i="7"/>
  <c r="K86" i="7"/>
  <c r="K87" i="7"/>
  <c r="K88" i="7"/>
  <c r="K89" i="7"/>
  <c r="K90" i="7"/>
  <c r="K91" i="7"/>
  <c r="K92" i="7"/>
  <c r="K93" i="7"/>
  <c r="K94" i="7"/>
  <c r="K95" i="7"/>
  <c r="K96" i="7"/>
  <c r="K97" i="7"/>
  <c r="K98" i="7"/>
  <c r="K99" i="7"/>
  <c r="K100" i="7"/>
  <c r="K101" i="7"/>
  <c r="K102" i="7"/>
  <c r="K103" i="7"/>
  <c r="K104" i="7"/>
  <c r="K105" i="7"/>
  <c r="K106" i="7"/>
  <c r="K107" i="7"/>
  <c r="K108" i="7"/>
  <c r="K109" i="7"/>
  <c r="K110" i="7"/>
  <c r="K111" i="7"/>
  <c r="K112" i="7"/>
  <c r="K113" i="7"/>
  <c r="K114" i="7"/>
  <c r="K115" i="7"/>
  <c r="K116" i="7"/>
  <c r="K117" i="7"/>
  <c r="K118" i="7"/>
  <c r="K119" i="7"/>
  <c r="K120" i="7"/>
  <c r="K121" i="7"/>
  <c r="K122" i="7"/>
  <c r="K123" i="7"/>
  <c r="K124" i="7"/>
  <c r="K125" i="7"/>
  <c r="K126" i="7"/>
  <c r="K127" i="7"/>
  <c r="K128" i="7"/>
  <c r="K129" i="7"/>
  <c r="K130" i="7"/>
  <c r="K131" i="7"/>
  <c r="K132" i="7"/>
  <c r="K133" i="7"/>
  <c r="K134" i="7"/>
  <c r="K135" i="7"/>
  <c r="K136" i="7"/>
  <c r="K137" i="7"/>
  <c r="K138" i="7"/>
  <c r="K139" i="7"/>
  <c r="K140" i="7"/>
  <c r="K141" i="7"/>
  <c r="K142" i="7"/>
  <c r="K143" i="7"/>
  <c r="K144" i="7"/>
  <c r="K145" i="7"/>
  <c r="K146" i="7"/>
  <c r="K147" i="7"/>
  <c r="K148" i="7"/>
  <c r="K149" i="7"/>
  <c r="K150" i="7"/>
  <c r="K151" i="7"/>
  <c r="K152" i="7"/>
  <c r="K153" i="7"/>
  <c r="K154" i="7"/>
  <c r="K155" i="7"/>
  <c r="K156" i="7"/>
  <c r="K157" i="7"/>
  <c r="K158" i="7"/>
  <c r="K159" i="7"/>
  <c r="K160" i="7"/>
  <c r="K161" i="7"/>
  <c r="K162" i="7"/>
  <c r="K163" i="7"/>
  <c r="K164" i="7"/>
  <c r="K165" i="7"/>
  <c r="K166" i="7"/>
  <c r="K167" i="7"/>
  <c r="K168" i="7"/>
  <c r="K169" i="7"/>
  <c r="K170" i="7"/>
  <c r="K171" i="7"/>
  <c r="K172" i="7"/>
  <c r="K173" i="7"/>
  <c r="K174" i="7"/>
  <c r="K175" i="7"/>
  <c r="K176" i="7"/>
  <c r="K177" i="7"/>
  <c r="K178" i="7"/>
  <c r="K179" i="7"/>
  <c r="K180" i="7"/>
  <c r="K181" i="7"/>
  <c r="K182" i="7"/>
  <c r="K183" i="7"/>
  <c r="K184" i="7"/>
  <c r="K185" i="7"/>
  <c r="K186" i="7"/>
  <c r="K187" i="7"/>
  <c r="K188" i="7"/>
  <c r="K189" i="7"/>
  <c r="K190" i="7"/>
  <c r="K191" i="7"/>
  <c r="K192" i="7"/>
  <c r="K193" i="7"/>
  <c r="K194" i="7"/>
  <c r="K195" i="7"/>
  <c r="K196" i="7"/>
  <c r="K197" i="7"/>
  <c r="K198" i="7"/>
  <c r="K199" i="7"/>
  <c r="K200" i="7"/>
  <c r="K201" i="7"/>
  <c r="K202" i="7"/>
  <c r="K203" i="7"/>
  <c r="K204" i="7"/>
  <c r="K205" i="7"/>
  <c r="K206" i="7"/>
  <c r="K207" i="7"/>
  <c r="K208" i="7"/>
  <c r="K209" i="7"/>
  <c r="K210" i="7"/>
  <c r="K211" i="7"/>
  <c r="K212" i="7"/>
  <c r="K213" i="7"/>
  <c r="K214" i="7"/>
  <c r="K215" i="7"/>
  <c r="K216" i="7"/>
  <c r="K217" i="7"/>
  <c r="K218" i="7"/>
  <c r="K219" i="7"/>
  <c r="K220" i="7"/>
  <c r="K221" i="7"/>
  <c r="K222" i="7"/>
  <c r="K223" i="7"/>
  <c r="K224" i="7"/>
  <c r="K225" i="7"/>
  <c r="K226" i="7"/>
  <c r="K227" i="7"/>
  <c r="K228" i="7"/>
  <c r="K229" i="7"/>
  <c r="K230" i="7"/>
  <c r="K231" i="7"/>
  <c r="K232" i="7"/>
  <c r="K234" i="7"/>
  <c r="K235" i="7"/>
  <c r="K236" i="7"/>
  <c r="K237" i="7"/>
  <c r="K238" i="7"/>
  <c r="K239" i="7"/>
  <c r="K240" i="7"/>
  <c r="K241" i="7"/>
  <c r="K242" i="7"/>
  <c r="K243" i="7"/>
  <c r="K244" i="7"/>
  <c r="K245" i="7"/>
  <c r="K246" i="7"/>
  <c r="K247" i="7"/>
  <c r="K248" i="7"/>
  <c r="K249" i="7"/>
  <c r="K251" i="7"/>
  <c r="K252" i="7"/>
  <c r="K253" i="7"/>
  <c r="K254" i="7"/>
  <c r="K255" i="7"/>
  <c r="K256" i="7"/>
  <c r="K257" i="7"/>
  <c r="K258" i="7"/>
  <c r="K259" i="7"/>
  <c r="K260" i="7"/>
  <c r="K261" i="7"/>
  <c r="K262" i="7"/>
  <c r="K264" i="7"/>
  <c r="K265" i="7"/>
  <c r="K266" i="7"/>
  <c r="K267" i="7"/>
  <c r="K268" i="7"/>
  <c r="K269" i="7"/>
  <c r="K270" i="7"/>
  <c r="K271" i="7"/>
  <c r="K272" i="7"/>
  <c r="K273" i="7"/>
  <c r="K274" i="7"/>
  <c r="K275" i="7"/>
  <c r="K276" i="7"/>
  <c r="K277" i="7"/>
  <c r="K278" i="7"/>
  <c r="K279" i="7"/>
  <c r="K280" i="7"/>
  <c r="K281" i="7"/>
  <c r="K282" i="7"/>
  <c r="K283" i="7"/>
  <c r="K284" i="7"/>
  <c r="K285" i="7"/>
  <c r="K286" i="7"/>
  <c r="K287" i="7"/>
  <c r="K288" i="7"/>
  <c r="K289" i="7"/>
  <c r="K290" i="7"/>
  <c r="K291" i="7"/>
  <c r="K292" i="7"/>
  <c r="K293" i="7"/>
  <c r="K294" i="7"/>
  <c r="K295" i="7"/>
  <c r="K296" i="7"/>
  <c r="K297" i="7"/>
  <c r="K298" i="7"/>
  <c r="K299" i="7"/>
  <c r="K300" i="7"/>
  <c r="K301" i="7"/>
  <c r="K302" i="7"/>
  <c r="K303" i="7"/>
  <c r="K304" i="7"/>
  <c r="K305" i="7"/>
  <c r="K306" i="7"/>
  <c r="K307" i="7"/>
  <c r="K308" i="7"/>
  <c r="K309" i="7"/>
  <c r="K310" i="7"/>
  <c r="K311" i="7"/>
  <c r="K312" i="7"/>
  <c r="K313" i="7"/>
  <c r="K314" i="7"/>
  <c r="K315" i="7"/>
  <c r="K316" i="7"/>
  <c r="K317" i="7"/>
  <c r="K318" i="7"/>
  <c r="K319" i="7"/>
  <c r="K320" i="7"/>
  <c r="K321" i="7"/>
  <c r="K2" i="7"/>
  <c r="J3" i="7"/>
  <c r="J4" i="7"/>
  <c r="J5" i="7"/>
  <c r="J6" i="7"/>
  <c r="J7" i="7"/>
  <c r="J8" i="7"/>
  <c r="J9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62" i="7"/>
  <c r="J63" i="7"/>
  <c r="J64" i="7"/>
  <c r="J65" i="7"/>
  <c r="J66" i="7"/>
  <c r="J67" i="7"/>
  <c r="J68" i="7"/>
  <c r="J69" i="7"/>
  <c r="J70" i="7"/>
  <c r="J71" i="7"/>
  <c r="J72" i="7"/>
  <c r="J73" i="7"/>
  <c r="J74" i="7"/>
  <c r="J75" i="7"/>
  <c r="J76" i="7"/>
  <c r="J77" i="7"/>
  <c r="J78" i="7"/>
  <c r="J79" i="7"/>
  <c r="J80" i="7"/>
  <c r="J81" i="7"/>
  <c r="J82" i="7"/>
  <c r="J83" i="7"/>
  <c r="J84" i="7"/>
  <c r="J85" i="7"/>
  <c r="J86" i="7"/>
  <c r="J87" i="7"/>
  <c r="J88" i="7"/>
  <c r="J89" i="7"/>
  <c r="J90" i="7"/>
  <c r="J91" i="7"/>
  <c r="J92" i="7"/>
  <c r="J93" i="7"/>
  <c r="J94" i="7"/>
  <c r="J95" i="7"/>
  <c r="J96" i="7"/>
  <c r="J97" i="7"/>
  <c r="J98" i="7"/>
  <c r="J99" i="7"/>
  <c r="J100" i="7"/>
  <c r="J101" i="7"/>
  <c r="J102" i="7"/>
  <c r="J103" i="7"/>
  <c r="J104" i="7"/>
  <c r="J105" i="7"/>
  <c r="J106" i="7"/>
  <c r="J107" i="7"/>
  <c r="J108" i="7"/>
  <c r="J109" i="7"/>
  <c r="J110" i="7"/>
  <c r="J111" i="7"/>
  <c r="J112" i="7"/>
  <c r="J113" i="7"/>
  <c r="J114" i="7"/>
  <c r="J115" i="7"/>
  <c r="J116" i="7"/>
  <c r="J117" i="7"/>
  <c r="J118" i="7"/>
  <c r="J119" i="7"/>
  <c r="J120" i="7"/>
  <c r="J121" i="7"/>
  <c r="J122" i="7"/>
  <c r="J123" i="7"/>
  <c r="J124" i="7"/>
  <c r="J125" i="7"/>
  <c r="J126" i="7"/>
  <c r="J127" i="7"/>
  <c r="J128" i="7"/>
  <c r="J129" i="7"/>
  <c r="J130" i="7"/>
  <c r="J131" i="7"/>
  <c r="J132" i="7"/>
  <c r="J133" i="7"/>
  <c r="J134" i="7"/>
  <c r="J135" i="7"/>
  <c r="J136" i="7"/>
  <c r="J137" i="7"/>
  <c r="J138" i="7"/>
  <c r="J139" i="7"/>
  <c r="J140" i="7"/>
  <c r="J141" i="7"/>
  <c r="J142" i="7"/>
  <c r="J143" i="7"/>
  <c r="J144" i="7"/>
  <c r="J145" i="7"/>
  <c r="J146" i="7"/>
  <c r="J147" i="7"/>
  <c r="J148" i="7"/>
  <c r="J149" i="7"/>
  <c r="J150" i="7"/>
  <c r="J151" i="7"/>
  <c r="J152" i="7"/>
  <c r="J153" i="7"/>
  <c r="J154" i="7"/>
  <c r="J155" i="7"/>
  <c r="J156" i="7"/>
  <c r="J157" i="7"/>
  <c r="J158" i="7"/>
  <c r="J159" i="7"/>
  <c r="J160" i="7"/>
  <c r="J161" i="7"/>
  <c r="J162" i="7"/>
  <c r="J163" i="7"/>
  <c r="J164" i="7"/>
  <c r="J165" i="7"/>
  <c r="J166" i="7"/>
  <c r="J167" i="7"/>
  <c r="J168" i="7"/>
  <c r="J169" i="7"/>
  <c r="J170" i="7"/>
  <c r="J171" i="7"/>
  <c r="J172" i="7"/>
  <c r="J173" i="7"/>
  <c r="J174" i="7"/>
  <c r="J175" i="7"/>
  <c r="J176" i="7"/>
  <c r="J177" i="7"/>
  <c r="J178" i="7"/>
  <c r="J179" i="7"/>
  <c r="J180" i="7"/>
  <c r="J181" i="7"/>
  <c r="J182" i="7"/>
  <c r="J183" i="7"/>
  <c r="J184" i="7"/>
  <c r="J185" i="7"/>
  <c r="J186" i="7"/>
  <c r="J187" i="7"/>
  <c r="J188" i="7"/>
  <c r="J189" i="7"/>
  <c r="J190" i="7"/>
  <c r="J191" i="7"/>
  <c r="J192" i="7"/>
  <c r="J193" i="7"/>
  <c r="J194" i="7"/>
  <c r="J195" i="7"/>
  <c r="J196" i="7"/>
  <c r="J197" i="7"/>
  <c r="J198" i="7"/>
  <c r="J199" i="7"/>
  <c r="J200" i="7"/>
  <c r="J201" i="7"/>
  <c r="J202" i="7"/>
  <c r="J203" i="7"/>
  <c r="J204" i="7"/>
  <c r="J205" i="7"/>
  <c r="J206" i="7"/>
  <c r="J207" i="7"/>
  <c r="J208" i="7"/>
  <c r="J209" i="7"/>
  <c r="J210" i="7"/>
  <c r="J211" i="7"/>
  <c r="J212" i="7"/>
  <c r="J213" i="7"/>
  <c r="J214" i="7"/>
  <c r="J215" i="7"/>
  <c r="J216" i="7"/>
  <c r="J217" i="7"/>
  <c r="J218" i="7"/>
  <c r="J219" i="7"/>
  <c r="J220" i="7"/>
  <c r="J221" i="7"/>
  <c r="J222" i="7"/>
  <c r="J223" i="7"/>
  <c r="J224" i="7"/>
  <c r="J225" i="7"/>
  <c r="J226" i="7"/>
  <c r="J227" i="7"/>
  <c r="J228" i="7"/>
  <c r="J229" i="7"/>
  <c r="J230" i="7"/>
  <c r="J231" i="7"/>
  <c r="J232" i="7"/>
  <c r="J233" i="7"/>
  <c r="K233" i="7" s="1"/>
  <c r="J234" i="7"/>
  <c r="J235" i="7"/>
  <c r="J236" i="7"/>
  <c r="J237" i="7"/>
  <c r="J238" i="7"/>
  <c r="J239" i="7"/>
  <c r="J240" i="7"/>
  <c r="J241" i="7"/>
  <c r="J242" i="7"/>
  <c r="J243" i="7"/>
  <c r="J244" i="7"/>
  <c r="J245" i="7"/>
  <c r="J246" i="7"/>
  <c r="J247" i="7"/>
  <c r="J248" i="7"/>
  <c r="J249" i="7"/>
  <c r="J250" i="7"/>
  <c r="K250" i="7" s="1"/>
  <c r="J251" i="7"/>
  <c r="J252" i="7"/>
  <c r="J253" i="7"/>
  <c r="J254" i="7"/>
  <c r="J255" i="7"/>
  <c r="J256" i="7"/>
  <c r="J257" i="7"/>
  <c r="J258" i="7"/>
  <c r="J259" i="7"/>
  <c r="J260" i="7"/>
  <c r="J261" i="7"/>
  <c r="J262" i="7"/>
  <c r="J263" i="7"/>
  <c r="K263" i="7" s="1"/>
  <c r="J264" i="7"/>
  <c r="J265" i="7"/>
  <c r="J266" i="7"/>
  <c r="J267" i="7"/>
  <c r="J268" i="7"/>
  <c r="J269" i="7"/>
  <c r="J270" i="7"/>
  <c r="J271" i="7"/>
  <c r="J272" i="7"/>
  <c r="J273" i="7"/>
  <c r="J274" i="7"/>
  <c r="J275" i="7"/>
  <c r="J276" i="7"/>
  <c r="J277" i="7"/>
  <c r="J278" i="7"/>
  <c r="J279" i="7"/>
  <c r="J280" i="7"/>
  <c r="J281" i="7"/>
  <c r="J282" i="7"/>
  <c r="J283" i="7"/>
  <c r="J284" i="7"/>
  <c r="J285" i="7"/>
  <c r="J286" i="7"/>
  <c r="J287" i="7"/>
  <c r="J288" i="7"/>
  <c r="J289" i="7"/>
  <c r="J290" i="7"/>
  <c r="J291" i="7"/>
  <c r="J292" i="7"/>
  <c r="J293" i="7"/>
  <c r="J294" i="7"/>
  <c r="J295" i="7"/>
  <c r="J296" i="7"/>
  <c r="J297" i="7"/>
  <c r="J298" i="7"/>
  <c r="J299" i="7"/>
  <c r="J300" i="7"/>
  <c r="J301" i="7"/>
  <c r="J302" i="7"/>
  <c r="J303" i="7"/>
  <c r="J304" i="7"/>
  <c r="J305" i="7"/>
  <c r="J306" i="7"/>
  <c r="J307" i="7"/>
  <c r="J308" i="7"/>
  <c r="J309" i="7"/>
  <c r="J310" i="7"/>
  <c r="J311" i="7"/>
  <c r="J312" i="7"/>
  <c r="J313" i="7"/>
  <c r="J314" i="7"/>
  <c r="J315" i="7"/>
  <c r="J316" i="7"/>
  <c r="J317" i="7"/>
  <c r="J318" i="7"/>
  <c r="J319" i="7"/>
  <c r="J320" i="7"/>
  <c r="J321" i="7"/>
  <c r="J2" i="7"/>
  <c r="H315" i="7"/>
  <c r="H313" i="7"/>
  <c r="F263" i="7"/>
  <c r="F250" i="7"/>
  <c r="F233" i="7"/>
  <c r="H229" i="7"/>
  <c r="H197" i="7"/>
  <c r="F164" i="7"/>
  <c r="H138" i="7"/>
  <c r="H135" i="7"/>
  <c r="H87" i="7"/>
  <c r="F73" i="7"/>
  <c r="H35" i="7"/>
  <c r="F263" i="5"/>
  <c r="F233" i="5"/>
  <c r="H315" i="5"/>
  <c r="H313" i="5"/>
  <c r="H229" i="5"/>
  <c r="H197" i="5"/>
  <c r="H138" i="5"/>
  <c r="H135" i="5"/>
  <c r="H87" i="5"/>
  <c r="H35" i="5"/>
  <c r="L35" i="4"/>
  <c r="L87" i="4"/>
  <c r="L135" i="4"/>
  <c r="L138" i="4"/>
  <c r="L197" i="4"/>
  <c r="L229" i="4"/>
  <c r="L313" i="4"/>
  <c r="L315" i="4"/>
  <c r="F250" i="5"/>
  <c r="F164" i="5"/>
  <c r="F73" i="5"/>
  <c r="K88" i="11" l="1"/>
  <c r="F250" i="11" s="1"/>
  <c r="J250" i="11" s="1"/>
  <c r="K250" i="11" s="1"/>
  <c r="K101" i="11"/>
  <c r="F263" i="11" s="1"/>
  <c r="J263" i="11" s="1"/>
  <c r="K263" i="11" s="1"/>
  <c r="F164" i="11"/>
  <c r="J164" i="11" s="1"/>
  <c r="K164" i="11" s="1"/>
  <c r="T3" i="4" l="1"/>
  <c r="T4" i="4"/>
  <c r="T5" i="4"/>
  <c r="T6" i="4"/>
  <c r="T7" i="4"/>
  <c r="T8" i="4"/>
  <c r="T9" i="4"/>
  <c r="T10" i="4"/>
  <c r="T11" i="4"/>
  <c r="T12" i="4"/>
  <c r="T13" i="4"/>
  <c r="T14" i="4"/>
  <c r="T15" i="4"/>
  <c r="T16" i="4"/>
  <c r="T17" i="4"/>
  <c r="T18" i="4"/>
  <c r="T19" i="4"/>
  <c r="T20" i="4"/>
  <c r="T21" i="4"/>
  <c r="T22" i="4"/>
  <c r="T23" i="4"/>
  <c r="T24" i="4"/>
  <c r="T25" i="4"/>
  <c r="T26" i="4"/>
  <c r="T27" i="4"/>
  <c r="T28" i="4"/>
  <c r="T29" i="4"/>
  <c r="T30" i="4"/>
  <c r="T31" i="4"/>
  <c r="T32" i="4"/>
  <c r="T33" i="4"/>
  <c r="T34" i="4"/>
  <c r="T35" i="4"/>
  <c r="T36" i="4"/>
  <c r="T37" i="4"/>
  <c r="T38" i="4"/>
  <c r="T39" i="4"/>
  <c r="T40" i="4"/>
  <c r="T41" i="4"/>
  <c r="T42" i="4"/>
  <c r="T43" i="4"/>
  <c r="T44" i="4"/>
  <c r="T45" i="4"/>
  <c r="T46" i="4"/>
  <c r="T47" i="4"/>
  <c r="T48" i="4"/>
  <c r="T49" i="4"/>
  <c r="T50" i="4"/>
  <c r="T51" i="4"/>
  <c r="T52" i="4"/>
  <c r="T53" i="4"/>
  <c r="T54" i="4"/>
  <c r="T55" i="4"/>
  <c r="T56" i="4"/>
  <c r="T57" i="4"/>
  <c r="T58" i="4"/>
  <c r="T59" i="4"/>
  <c r="T60" i="4"/>
  <c r="T61" i="4"/>
  <c r="T62" i="4"/>
  <c r="T63" i="4"/>
  <c r="T64" i="4"/>
  <c r="T65" i="4"/>
  <c r="T66" i="4"/>
  <c r="T67" i="4"/>
  <c r="T68" i="4"/>
  <c r="T69" i="4"/>
  <c r="T70" i="4"/>
  <c r="T71" i="4"/>
  <c r="T72" i="4"/>
  <c r="T73" i="4"/>
  <c r="T74" i="4"/>
  <c r="T75" i="4"/>
  <c r="T76" i="4"/>
  <c r="T77" i="4"/>
  <c r="T78" i="4"/>
  <c r="T79" i="4"/>
  <c r="T80" i="4"/>
  <c r="T81" i="4"/>
  <c r="T82" i="4"/>
  <c r="T83" i="4"/>
  <c r="T84" i="4"/>
  <c r="T85" i="4"/>
  <c r="T86" i="4"/>
  <c r="T87" i="4"/>
  <c r="T88" i="4"/>
  <c r="T89" i="4"/>
  <c r="T90" i="4"/>
  <c r="T91" i="4"/>
  <c r="T92" i="4"/>
  <c r="T93" i="4"/>
  <c r="T94" i="4"/>
  <c r="T95" i="4"/>
  <c r="T96" i="4"/>
  <c r="T97" i="4"/>
  <c r="T98" i="4"/>
  <c r="T99" i="4"/>
  <c r="T100" i="4"/>
  <c r="T101" i="4"/>
  <c r="T102" i="4"/>
  <c r="T103" i="4"/>
  <c r="T104" i="4"/>
  <c r="T105" i="4"/>
  <c r="T106" i="4"/>
  <c r="T107" i="4"/>
  <c r="T108" i="4"/>
  <c r="T109" i="4"/>
  <c r="T110" i="4"/>
  <c r="T111" i="4"/>
  <c r="T112" i="4"/>
  <c r="T113" i="4"/>
  <c r="T114" i="4"/>
  <c r="T115" i="4"/>
  <c r="T116" i="4"/>
  <c r="T117" i="4"/>
  <c r="T118" i="4"/>
  <c r="T119" i="4"/>
  <c r="T120" i="4"/>
  <c r="T121" i="4"/>
  <c r="T122" i="4"/>
  <c r="T123" i="4"/>
  <c r="T124" i="4"/>
  <c r="T125" i="4"/>
  <c r="T126" i="4"/>
  <c r="T127" i="4"/>
  <c r="T128" i="4"/>
  <c r="T129" i="4"/>
  <c r="T130" i="4"/>
  <c r="T131" i="4"/>
  <c r="T132" i="4"/>
  <c r="T133" i="4"/>
  <c r="T134" i="4"/>
  <c r="T135" i="4"/>
  <c r="T136" i="4"/>
  <c r="T137" i="4"/>
  <c r="T138" i="4"/>
  <c r="T139" i="4"/>
  <c r="T140" i="4"/>
  <c r="T141" i="4"/>
  <c r="T142" i="4"/>
  <c r="T143" i="4"/>
  <c r="T144" i="4"/>
  <c r="T145" i="4"/>
  <c r="T146" i="4"/>
  <c r="T147" i="4"/>
  <c r="T148" i="4"/>
  <c r="T149" i="4"/>
  <c r="T150" i="4"/>
  <c r="T151" i="4"/>
  <c r="T152" i="4"/>
  <c r="T153" i="4"/>
  <c r="T154" i="4"/>
  <c r="T155" i="4"/>
  <c r="T156" i="4"/>
  <c r="T157" i="4"/>
  <c r="T158" i="4"/>
  <c r="T159" i="4"/>
  <c r="T160" i="4"/>
  <c r="T161" i="4"/>
  <c r="T162" i="4"/>
  <c r="T163" i="4"/>
  <c r="T164" i="4"/>
  <c r="T165" i="4"/>
  <c r="T166" i="4"/>
  <c r="T167" i="4"/>
  <c r="T168" i="4"/>
  <c r="T169" i="4"/>
  <c r="T170" i="4"/>
  <c r="T171" i="4"/>
  <c r="T172" i="4"/>
  <c r="T173" i="4"/>
  <c r="T174" i="4"/>
  <c r="T175" i="4"/>
  <c r="T176" i="4"/>
  <c r="T177" i="4"/>
  <c r="T178" i="4"/>
  <c r="T179" i="4"/>
  <c r="T180" i="4"/>
  <c r="T181" i="4"/>
  <c r="T182" i="4"/>
  <c r="T183" i="4"/>
  <c r="T184" i="4"/>
  <c r="T185" i="4"/>
  <c r="T186" i="4"/>
  <c r="T187" i="4"/>
  <c r="T188" i="4"/>
  <c r="T189" i="4"/>
  <c r="T190" i="4"/>
  <c r="T191" i="4"/>
  <c r="T192" i="4"/>
  <c r="T193" i="4"/>
  <c r="T194" i="4"/>
  <c r="T195" i="4"/>
  <c r="T196" i="4"/>
  <c r="T197" i="4"/>
  <c r="T198" i="4"/>
  <c r="T199" i="4"/>
  <c r="T200" i="4"/>
  <c r="T201" i="4"/>
  <c r="T202" i="4"/>
  <c r="T203" i="4"/>
  <c r="T204" i="4"/>
  <c r="T205" i="4"/>
  <c r="T206" i="4"/>
  <c r="T207" i="4"/>
  <c r="T208" i="4"/>
  <c r="T209" i="4"/>
  <c r="T210" i="4"/>
  <c r="T211" i="4"/>
  <c r="T212" i="4"/>
  <c r="T213" i="4"/>
  <c r="T214" i="4"/>
  <c r="T215" i="4"/>
  <c r="T216" i="4"/>
  <c r="T217" i="4"/>
  <c r="T218" i="4"/>
  <c r="T219" i="4"/>
  <c r="T220" i="4"/>
  <c r="T221" i="4"/>
  <c r="T222" i="4"/>
  <c r="T223" i="4"/>
  <c r="T224" i="4"/>
  <c r="T225" i="4"/>
  <c r="T226" i="4"/>
  <c r="T227" i="4"/>
  <c r="T228" i="4"/>
  <c r="T229" i="4"/>
  <c r="T230" i="4"/>
  <c r="T231" i="4"/>
  <c r="T232" i="4"/>
  <c r="T233" i="4"/>
  <c r="T234" i="4"/>
  <c r="T235" i="4"/>
  <c r="T236" i="4"/>
  <c r="T237" i="4"/>
  <c r="T238" i="4"/>
  <c r="T239" i="4"/>
  <c r="T240" i="4"/>
  <c r="T241" i="4"/>
  <c r="T242" i="4"/>
  <c r="T243" i="4"/>
  <c r="T244" i="4"/>
  <c r="T245" i="4"/>
  <c r="T246" i="4"/>
  <c r="T247" i="4"/>
  <c r="T248" i="4"/>
  <c r="T249" i="4"/>
  <c r="T250" i="4"/>
  <c r="T251" i="4"/>
  <c r="T252" i="4"/>
  <c r="T253" i="4"/>
  <c r="T254" i="4"/>
  <c r="T255" i="4"/>
  <c r="T256" i="4"/>
  <c r="T257" i="4"/>
  <c r="T258" i="4"/>
  <c r="T259" i="4"/>
  <c r="T260" i="4"/>
  <c r="T261" i="4"/>
  <c r="T262" i="4"/>
  <c r="T263" i="4"/>
  <c r="T264" i="4"/>
  <c r="T265" i="4"/>
  <c r="T266" i="4"/>
  <c r="T267" i="4"/>
  <c r="T268" i="4"/>
  <c r="T269" i="4"/>
  <c r="T270" i="4"/>
  <c r="T271" i="4"/>
  <c r="T272" i="4"/>
  <c r="T273" i="4"/>
  <c r="T274" i="4"/>
  <c r="T275" i="4"/>
  <c r="T276" i="4"/>
  <c r="T277" i="4"/>
  <c r="T278" i="4"/>
  <c r="T279" i="4"/>
  <c r="T280" i="4"/>
  <c r="T281" i="4"/>
  <c r="T282" i="4"/>
  <c r="T283" i="4"/>
  <c r="T284" i="4"/>
  <c r="T285" i="4"/>
  <c r="T286" i="4"/>
  <c r="T287" i="4"/>
  <c r="T288" i="4"/>
  <c r="T289" i="4"/>
  <c r="T290" i="4"/>
  <c r="T291" i="4"/>
  <c r="T292" i="4"/>
  <c r="T293" i="4"/>
  <c r="T294" i="4"/>
  <c r="T295" i="4"/>
  <c r="T296" i="4"/>
  <c r="T297" i="4"/>
  <c r="T298" i="4"/>
  <c r="T299" i="4"/>
  <c r="T300" i="4"/>
  <c r="T301" i="4"/>
  <c r="T302" i="4"/>
  <c r="T303" i="4"/>
  <c r="T304" i="4"/>
  <c r="T305" i="4"/>
  <c r="T306" i="4"/>
  <c r="T307" i="4"/>
  <c r="T308" i="4"/>
  <c r="T309" i="4"/>
  <c r="T310" i="4"/>
  <c r="T311" i="4"/>
  <c r="T312" i="4"/>
  <c r="T313" i="4"/>
  <c r="T314" i="4"/>
  <c r="T315" i="4"/>
  <c r="T316" i="4"/>
  <c r="T317" i="4"/>
  <c r="T318" i="4"/>
  <c r="T319" i="4"/>
  <c r="T320" i="4"/>
  <c r="T321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S30" i="4"/>
  <c r="S31" i="4"/>
  <c r="S32" i="4"/>
  <c r="S33" i="4"/>
  <c r="S34" i="4"/>
  <c r="S35" i="4"/>
  <c r="S36" i="4"/>
  <c r="S37" i="4"/>
  <c r="S38" i="4"/>
  <c r="S39" i="4"/>
  <c r="S40" i="4"/>
  <c r="S41" i="4"/>
  <c r="S42" i="4"/>
  <c r="S43" i="4"/>
  <c r="S44" i="4"/>
  <c r="S45" i="4"/>
  <c r="S46" i="4"/>
  <c r="S47" i="4"/>
  <c r="S48" i="4"/>
  <c r="S49" i="4"/>
  <c r="S50" i="4"/>
  <c r="S51" i="4"/>
  <c r="S52" i="4"/>
  <c r="S53" i="4"/>
  <c r="S54" i="4"/>
  <c r="S55" i="4"/>
  <c r="S56" i="4"/>
  <c r="S57" i="4"/>
  <c r="S58" i="4"/>
  <c r="S59" i="4"/>
  <c r="S60" i="4"/>
  <c r="S61" i="4"/>
  <c r="S62" i="4"/>
  <c r="S63" i="4"/>
  <c r="S64" i="4"/>
  <c r="S65" i="4"/>
  <c r="S66" i="4"/>
  <c r="S67" i="4"/>
  <c r="S68" i="4"/>
  <c r="S69" i="4"/>
  <c r="S70" i="4"/>
  <c r="S71" i="4"/>
  <c r="S72" i="4"/>
  <c r="S73" i="4"/>
  <c r="S74" i="4"/>
  <c r="S75" i="4"/>
  <c r="S76" i="4"/>
  <c r="S77" i="4"/>
  <c r="S78" i="4"/>
  <c r="S79" i="4"/>
  <c r="S80" i="4"/>
  <c r="S81" i="4"/>
  <c r="S82" i="4"/>
  <c r="S83" i="4"/>
  <c r="S84" i="4"/>
  <c r="S85" i="4"/>
  <c r="S86" i="4"/>
  <c r="S87" i="4"/>
  <c r="S88" i="4"/>
  <c r="S89" i="4"/>
  <c r="S90" i="4"/>
  <c r="S91" i="4"/>
  <c r="S92" i="4"/>
  <c r="S93" i="4"/>
  <c r="S94" i="4"/>
  <c r="S95" i="4"/>
  <c r="S96" i="4"/>
  <c r="S97" i="4"/>
  <c r="S98" i="4"/>
  <c r="S99" i="4"/>
  <c r="S100" i="4"/>
  <c r="S101" i="4"/>
  <c r="S102" i="4"/>
  <c r="S103" i="4"/>
  <c r="S104" i="4"/>
  <c r="S105" i="4"/>
  <c r="S106" i="4"/>
  <c r="S107" i="4"/>
  <c r="S108" i="4"/>
  <c r="S109" i="4"/>
  <c r="S110" i="4"/>
  <c r="S111" i="4"/>
  <c r="S112" i="4"/>
  <c r="S113" i="4"/>
  <c r="S114" i="4"/>
  <c r="S115" i="4"/>
  <c r="S116" i="4"/>
  <c r="S117" i="4"/>
  <c r="S118" i="4"/>
  <c r="S119" i="4"/>
  <c r="S120" i="4"/>
  <c r="S121" i="4"/>
  <c r="S122" i="4"/>
  <c r="S123" i="4"/>
  <c r="S124" i="4"/>
  <c r="S125" i="4"/>
  <c r="S126" i="4"/>
  <c r="S127" i="4"/>
  <c r="S128" i="4"/>
  <c r="S129" i="4"/>
  <c r="S130" i="4"/>
  <c r="S131" i="4"/>
  <c r="S132" i="4"/>
  <c r="S133" i="4"/>
  <c r="S134" i="4"/>
  <c r="S135" i="4"/>
  <c r="S136" i="4"/>
  <c r="S137" i="4"/>
  <c r="S138" i="4"/>
  <c r="S139" i="4"/>
  <c r="S140" i="4"/>
  <c r="S141" i="4"/>
  <c r="S142" i="4"/>
  <c r="S143" i="4"/>
  <c r="S144" i="4"/>
  <c r="S145" i="4"/>
  <c r="S146" i="4"/>
  <c r="S147" i="4"/>
  <c r="S148" i="4"/>
  <c r="S149" i="4"/>
  <c r="S150" i="4"/>
  <c r="S151" i="4"/>
  <c r="S152" i="4"/>
  <c r="S153" i="4"/>
  <c r="S154" i="4"/>
  <c r="S155" i="4"/>
  <c r="S156" i="4"/>
  <c r="S157" i="4"/>
  <c r="S158" i="4"/>
  <c r="S159" i="4"/>
  <c r="S160" i="4"/>
  <c r="S161" i="4"/>
  <c r="S162" i="4"/>
  <c r="S163" i="4"/>
  <c r="S164" i="4"/>
  <c r="S165" i="4"/>
  <c r="S166" i="4"/>
  <c r="S167" i="4"/>
  <c r="S168" i="4"/>
  <c r="S169" i="4"/>
  <c r="S170" i="4"/>
  <c r="S171" i="4"/>
  <c r="S172" i="4"/>
  <c r="S173" i="4"/>
  <c r="S174" i="4"/>
  <c r="S175" i="4"/>
  <c r="S176" i="4"/>
  <c r="S177" i="4"/>
  <c r="S178" i="4"/>
  <c r="S179" i="4"/>
  <c r="S180" i="4"/>
  <c r="S181" i="4"/>
  <c r="S182" i="4"/>
  <c r="S183" i="4"/>
  <c r="S184" i="4"/>
  <c r="S185" i="4"/>
  <c r="S186" i="4"/>
  <c r="S187" i="4"/>
  <c r="S188" i="4"/>
  <c r="S189" i="4"/>
  <c r="S190" i="4"/>
  <c r="S191" i="4"/>
  <c r="S192" i="4"/>
  <c r="S193" i="4"/>
  <c r="S194" i="4"/>
  <c r="S195" i="4"/>
  <c r="S196" i="4"/>
  <c r="S197" i="4"/>
  <c r="S198" i="4"/>
  <c r="S199" i="4"/>
  <c r="S200" i="4"/>
  <c r="S201" i="4"/>
  <c r="S202" i="4"/>
  <c r="S203" i="4"/>
  <c r="S204" i="4"/>
  <c r="S205" i="4"/>
  <c r="S206" i="4"/>
  <c r="S207" i="4"/>
  <c r="S208" i="4"/>
  <c r="S209" i="4"/>
  <c r="S210" i="4"/>
  <c r="S211" i="4"/>
  <c r="S212" i="4"/>
  <c r="S213" i="4"/>
  <c r="S214" i="4"/>
  <c r="S215" i="4"/>
  <c r="S216" i="4"/>
  <c r="S217" i="4"/>
  <c r="S218" i="4"/>
  <c r="S219" i="4"/>
  <c r="S220" i="4"/>
  <c r="S221" i="4"/>
  <c r="S222" i="4"/>
  <c r="S223" i="4"/>
  <c r="S224" i="4"/>
  <c r="S225" i="4"/>
  <c r="S226" i="4"/>
  <c r="S227" i="4"/>
  <c r="S228" i="4"/>
  <c r="S229" i="4"/>
  <c r="S230" i="4"/>
  <c r="S231" i="4"/>
  <c r="S232" i="4"/>
  <c r="S233" i="4"/>
  <c r="S234" i="4"/>
  <c r="S235" i="4"/>
  <c r="S236" i="4"/>
  <c r="S237" i="4"/>
  <c r="S238" i="4"/>
  <c r="S239" i="4"/>
  <c r="S240" i="4"/>
  <c r="S241" i="4"/>
  <c r="S242" i="4"/>
  <c r="S243" i="4"/>
  <c r="S244" i="4"/>
  <c r="S245" i="4"/>
  <c r="S246" i="4"/>
  <c r="S247" i="4"/>
  <c r="S248" i="4"/>
  <c r="S249" i="4"/>
  <c r="S250" i="4"/>
  <c r="S251" i="4"/>
  <c r="S252" i="4"/>
  <c r="S253" i="4"/>
  <c r="S254" i="4"/>
  <c r="S255" i="4"/>
  <c r="S256" i="4"/>
  <c r="S257" i="4"/>
  <c r="S258" i="4"/>
  <c r="S259" i="4"/>
  <c r="S260" i="4"/>
  <c r="S261" i="4"/>
  <c r="S262" i="4"/>
  <c r="S263" i="4"/>
  <c r="S264" i="4"/>
  <c r="S265" i="4"/>
  <c r="S266" i="4"/>
  <c r="S267" i="4"/>
  <c r="S268" i="4"/>
  <c r="S269" i="4"/>
  <c r="S270" i="4"/>
  <c r="S271" i="4"/>
  <c r="S272" i="4"/>
  <c r="S273" i="4"/>
  <c r="S274" i="4"/>
  <c r="S275" i="4"/>
  <c r="S276" i="4"/>
  <c r="S277" i="4"/>
  <c r="S278" i="4"/>
  <c r="S279" i="4"/>
  <c r="S280" i="4"/>
  <c r="S281" i="4"/>
  <c r="S282" i="4"/>
  <c r="S283" i="4"/>
  <c r="S284" i="4"/>
  <c r="S285" i="4"/>
  <c r="S286" i="4"/>
  <c r="S287" i="4"/>
  <c r="S288" i="4"/>
  <c r="S289" i="4"/>
  <c r="S290" i="4"/>
  <c r="S291" i="4"/>
  <c r="S292" i="4"/>
  <c r="S293" i="4"/>
  <c r="S294" i="4"/>
  <c r="S295" i="4"/>
  <c r="S296" i="4"/>
  <c r="S297" i="4"/>
  <c r="S298" i="4"/>
  <c r="S299" i="4"/>
  <c r="S300" i="4"/>
  <c r="S301" i="4"/>
  <c r="S302" i="4"/>
  <c r="S303" i="4"/>
  <c r="S304" i="4"/>
  <c r="S305" i="4"/>
  <c r="S306" i="4"/>
  <c r="S307" i="4"/>
  <c r="S308" i="4"/>
  <c r="S309" i="4"/>
  <c r="S310" i="4"/>
  <c r="S311" i="4"/>
  <c r="S312" i="4"/>
  <c r="S313" i="4"/>
  <c r="S314" i="4"/>
  <c r="S315" i="4"/>
  <c r="S316" i="4"/>
  <c r="S317" i="4"/>
  <c r="S318" i="4"/>
  <c r="S319" i="4"/>
  <c r="S320" i="4"/>
  <c r="S321" i="4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32" i="4"/>
  <c r="R33" i="4"/>
  <c r="R34" i="4"/>
  <c r="R35" i="4"/>
  <c r="R36" i="4"/>
  <c r="R37" i="4"/>
  <c r="R38" i="4"/>
  <c r="R39" i="4"/>
  <c r="R40" i="4"/>
  <c r="R41" i="4"/>
  <c r="R42" i="4"/>
  <c r="R43" i="4"/>
  <c r="R44" i="4"/>
  <c r="R45" i="4"/>
  <c r="R46" i="4"/>
  <c r="R47" i="4"/>
  <c r="R48" i="4"/>
  <c r="R49" i="4"/>
  <c r="R50" i="4"/>
  <c r="R51" i="4"/>
  <c r="R52" i="4"/>
  <c r="R53" i="4"/>
  <c r="R54" i="4"/>
  <c r="R55" i="4"/>
  <c r="R56" i="4"/>
  <c r="R57" i="4"/>
  <c r="R58" i="4"/>
  <c r="R59" i="4"/>
  <c r="R60" i="4"/>
  <c r="R61" i="4"/>
  <c r="R62" i="4"/>
  <c r="R63" i="4"/>
  <c r="R64" i="4"/>
  <c r="R65" i="4"/>
  <c r="R66" i="4"/>
  <c r="R67" i="4"/>
  <c r="R68" i="4"/>
  <c r="R69" i="4"/>
  <c r="R70" i="4"/>
  <c r="R71" i="4"/>
  <c r="R72" i="4"/>
  <c r="R73" i="4"/>
  <c r="R74" i="4"/>
  <c r="R75" i="4"/>
  <c r="R76" i="4"/>
  <c r="R77" i="4"/>
  <c r="R78" i="4"/>
  <c r="R79" i="4"/>
  <c r="R80" i="4"/>
  <c r="R81" i="4"/>
  <c r="R82" i="4"/>
  <c r="R83" i="4"/>
  <c r="R84" i="4"/>
  <c r="R85" i="4"/>
  <c r="R86" i="4"/>
  <c r="R87" i="4"/>
  <c r="R88" i="4"/>
  <c r="R89" i="4"/>
  <c r="R90" i="4"/>
  <c r="R91" i="4"/>
  <c r="R92" i="4"/>
  <c r="R93" i="4"/>
  <c r="R94" i="4"/>
  <c r="R95" i="4"/>
  <c r="R96" i="4"/>
  <c r="R97" i="4"/>
  <c r="R98" i="4"/>
  <c r="R99" i="4"/>
  <c r="R100" i="4"/>
  <c r="R101" i="4"/>
  <c r="R102" i="4"/>
  <c r="R103" i="4"/>
  <c r="R104" i="4"/>
  <c r="R105" i="4"/>
  <c r="R106" i="4"/>
  <c r="R107" i="4"/>
  <c r="R108" i="4"/>
  <c r="R109" i="4"/>
  <c r="R110" i="4"/>
  <c r="R111" i="4"/>
  <c r="R112" i="4"/>
  <c r="R113" i="4"/>
  <c r="R114" i="4"/>
  <c r="R115" i="4"/>
  <c r="R116" i="4"/>
  <c r="R117" i="4"/>
  <c r="R118" i="4"/>
  <c r="R119" i="4"/>
  <c r="R120" i="4"/>
  <c r="R121" i="4"/>
  <c r="R122" i="4"/>
  <c r="R123" i="4"/>
  <c r="R124" i="4"/>
  <c r="R125" i="4"/>
  <c r="R126" i="4"/>
  <c r="R127" i="4"/>
  <c r="R128" i="4"/>
  <c r="R129" i="4"/>
  <c r="R130" i="4"/>
  <c r="R131" i="4"/>
  <c r="R132" i="4"/>
  <c r="R133" i="4"/>
  <c r="R134" i="4"/>
  <c r="R135" i="4"/>
  <c r="R136" i="4"/>
  <c r="R137" i="4"/>
  <c r="R138" i="4"/>
  <c r="R139" i="4"/>
  <c r="R140" i="4"/>
  <c r="R141" i="4"/>
  <c r="R142" i="4"/>
  <c r="R143" i="4"/>
  <c r="R144" i="4"/>
  <c r="R145" i="4"/>
  <c r="R146" i="4"/>
  <c r="R147" i="4"/>
  <c r="R148" i="4"/>
  <c r="R149" i="4"/>
  <c r="R150" i="4"/>
  <c r="R151" i="4"/>
  <c r="R152" i="4"/>
  <c r="R153" i="4"/>
  <c r="R154" i="4"/>
  <c r="R155" i="4"/>
  <c r="R156" i="4"/>
  <c r="R157" i="4"/>
  <c r="R158" i="4"/>
  <c r="R159" i="4"/>
  <c r="R160" i="4"/>
  <c r="R161" i="4"/>
  <c r="R162" i="4"/>
  <c r="R163" i="4"/>
  <c r="R164" i="4"/>
  <c r="R165" i="4"/>
  <c r="R166" i="4"/>
  <c r="R167" i="4"/>
  <c r="R168" i="4"/>
  <c r="R169" i="4"/>
  <c r="R170" i="4"/>
  <c r="R171" i="4"/>
  <c r="R172" i="4"/>
  <c r="R173" i="4"/>
  <c r="R174" i="4"/>
  <c r="R175" i="4"/>
  <c r="R176" i="4"/>
  <c r="R177" i="4"/>
  <c r="R178" i="4"/>
  <c r="R179" i="4"/>
  <c r="R180" i="4"/>
  <c r="R181" i="4"/>
  <c r="R182" i="4"/>
  <c r="R183" i="4"/>
  <c r="R184" i="4"/>
  <c r="R185" i="4"/>
  <c r="R186" i="4"/>
  <c r="R187" i="4"/>
  <c r="R188" i="4"/>
  <c r="R189" i="4"/>
  <c r="R190" i="4"/>
  <c r="R191" i="4"/>
  <c r="R192" i="4"/>
  <c r="R193" i="4"/>
  <c r="R194" i="4"/>
  <c r="R195" i="4"/>
  <c r="R196" i="4"/>
  <c r="R197" i="4"/>
  <c r="R198" i="4"/>
  <c r="R199" i="4"/>
  <c r="R200" i="4"/>
  <c r="R201" i="4"/>
  <c r="R202" i="4"/>
  <c r="R203" i="4"/>
  <c r="R204" i="4"/>
  <c r="R205" i="4"/>
  <c r="R206" i="4"/>
  <c r="R207" i="4"/>
  <c r="R208" i="4"/>
  <c r="R209" i="4"/>
  <c r="R210" i="4"/>
  <c r="R211" i="4"/>
  <c r="R212" i="4"/>
  <c r="R213" i="4"/>
  <c r="R214" i="4"/>
  <c r="R215" i="4"/>
  <c r="R216" i="4"/>
  <c r="R217" i="4"/>
  <c r="R218" i="4"/>
  <c r="R219" i="4"/>
  <c r="R220" i="4"/>
  <c r="R221" i="4"/>
  <c r="R222" i="4"/>
  <c r="R223" i="4"/>
  <c r="R224" i="4"/>
  <c r="R225" i="4"/>
  <c r="R226" i="4"/>
  <c r="R227" i="4"/>
  <c r="R228" i="4"/>
  <c r="R229" i="4"/>
  <c r="R230" i="4"/>
  <c r="R231" i="4"/>
  <c r="R232" i="4"/>
  <c r="R233" i="4"/>
  <c r="R234" i="4"/>
  <c r="R235" i="4"/>
  <c r="R236" i="4"/>
  <c r="R237" i="4"/>
  <c r="R238" i="4"/>
  <c r="R239" i="4"/>
  <c r="R240" i="4"/>
  <c r="R241" i="4"/>
  <c r="R242" i="4"/>
  <c r="R243" i="4"/>
  <c r="R244" i="4"/>
  <c r="R245" i="4"/>
  <c r="R246" i="4"/>
  <c r="R247" i="4"/>
  <c r="R248" i="4"/>
  <c r="R249" i="4"/>
  <c r="R250" i="4"/>
  <c r="R251" i="4"/>
  <c r="R252" i="4"/>
  <c r="R253" i="4"/>
  <c r="R254" i="4"/>
  <c r="R255" i="4"/>
  <c r="R256" i="4"/>
  <c r="R257" i="4"/>
  <c r="R258" i="4"/>
  <c r="R259" i="4"/>
  <c r="R260" i="4"/>
  <c r="R261" i="4"/>
  <c r="R262" i="4"/>
  <c r="R263" i="4"/>
  <c r="R264" i="4"/>
  <c r="R265" i="4"/>
  <c r="R266" i="4"/>
  <c r="R267" i="4"/>
  <c r="R268" i="4"/>
  <c r="R269" i="4"/>
  <c r="R270" i="4"/>
  <c r="R271" i="4"/>
  <c r="R272" i="4"/>
  <c r="R273" i="4"/>
  <c r="R274" i="4"/>
  <c r="R275" i="4"/>
  <c r="R276" i="4"/>
  <c r="R277" i="4"/>
  <c r="R278" i="4"/>
  <c r="R279" i="4"/>
  <c r="R280" i="4"/>
  <c r="R281" i="4"/>
  <c r="R282" i="4"/>
  <c r="R283" i="4"/>
  <c r="R284" i="4"/>
  <c r="R285" i="4"/>
  <c r="R286" i="4"/>
  <c r="R287" i="4"/>
  <c r="R288" i="4"/>
  <c r="R289" i="4"/>
  <c r="R290" i="4"/>
  <c r="R291" i="4"/>
  <c r="R292" i="4"/>
  <c r="R293" i="4"/>
  <c r="R294" i="4"/>
  <c r="R295" i="4"/>
  <c r="R296" i="4"/>
  <c r="R297" i="4"/>
  <c r="R298" i="4"/>
  <c r="R299" i="4"/>
  <c r="R300" i="4"/>
  <c r="R301" i="4"/>
  <c r="R302" i="4"/>
  <c r="R303" i="4"/>
  <c r="R304" i="4"/>
  <c r="R305" i="4"/>
  <c r="R306" i="4"/>
  <c r="R307" i="4"/>
  <c r="R308" i="4"/>
  <c r="R309" i="4"/>
  <c r="R310" i="4"/>
  <c r="R311" i="4"/>
  <c r="R312" i="4"/>
  <c r="R313" i="4"/>
  <c r="R314" i="4"/>
  <c r="R315" i="4"/>
  <c r="R316" i="4"/>
  <c r="R317" i="4"/>
  <c r="R318" i="4"/>
  <c r="R319" i="4"/>
  <c r="R320" i="4"/>
  <c r="R321" i="4"/>
  <c r="T2" i="4"/>
  <c r="S2" i="4"/>
  <c r="R2" i="4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O205" i="4"/>
  <c r="O206" i="4"/>
  <c r="O207" i="4"/>
  <c r="O208" i="4"/>
  <c r="O209" i="4"/>
  <c r="O210" i="4"/>
  <c r="O211" i="4"/>
  <c r="O212" i="4"/>
  <c r="O213" i="4"/>
  <c r="O214" i="4"/>
  <c r="O215" i="4"/>
  <c r="O216" i="4"/>
  <c r="O217" i="4"/>
  <c r="O218" i="4"/>
  <c r="O219" i="4"/>
  <c r="O220" i="4"/>
  <c r="O221" i="4"/>
  <c r="O222" i="4"/>
  <c r="O223" i="4"/>
  <c r="O224" i="4"/>
  <c r="O225" i="4"/>
  <c r="O226" i="4"/>
  <c r="O227" i="4"/>
  <c r="O228" i="4"/>
  <c r="O229" i="4"/>
  <c r="O230" i="4"/>
  <c r="O231" i="4"/>
  <c r="O232" i="4"/>
  <c r="O233" i="4"/>
  <c r="O234" i="4"/>
  <c r="O235" i="4"/>
  <c r="O236" i="4"/>
  <c r="O237" i="4"/>
  <c r="O238" i="4"/>
  <c r="O239" i="4"/>
  <c r="O240" i="4"/>
  <c r="O241" i="4"/>
  <c r="O242" i="4"/>
  <c r="O243" i="4"/>
  <c r="O244" i="4"/>
  <c r="O245" i="4"/>
  <c r="O246" i="4"/>
  <c r="O247" i="4"/>
  <c r="O248" i="4"/>
  <c r="O249" i="4"/>
  <c r="O250" i="4"/>
  <c r="O251" i="4"/>
  <c r="O252" i="4"/>
  <c r="O253" i="4"/>
  <c r="O254" i="4"/>
  <c r="O255" i="4"/>
  <c r="O256" i="4"/>
  <c r="O257" i="4"/>
  <c r="O258" i="4"/>
  <c r="O259" i="4"/>
  <c r="O260" i="4"/>
  <c r="O261" i="4"/>
  <c r="O262" i="4"/>
  <c r="O263" i="4"/>
  <c r="O264" i="4"/>
  <c r="O265" i="4"/>
  <c r="O266" i="4"/>
  <c r="O267" i="4"/>
  <c r="O268" i="4"/>
  <c r="O269" i="4"/>
  <c r="O270" i="4"/>
  <c r="O271" i="4"/>
  <c r="O272" i="4"/>
  <c r="O273" i="4"/>
  <c r="O274" i="4"/>
  <c r="O275" i="4"/>
  <c r="O276" i="4"/>
  <c r="O277" i="4"/>
  <c r="O278" i="4"/>
  <c r="O279" i="4"/>
  <c r="O280" i="4"/>
  <c r="O281" i="4"/>
  <c r="O282" i="4"/>
  <c r="O283" i="4"/>
  <c r="O284" i="4"/>
  <c r="O285" i="4"/>
  <c r="O286" i="4"/>
  <c r="O287" i="4"/>
  <c r="O288" i="4"/>
  <c r="O289" i="4"/>
  <c r="O290" i="4"/>
  <c r="O291" i="4"/>
  <c r="O292" i="4"/>
  <c r="O293" i="4"/>
  <c r="O294" i="4"/>
  <c r="O295" i="4"/>
  <c r="O296" i="4"/>
  <c r="O297" i="4"/>
  <c r="O298" i="4"/>
  <c r="O299" i="4"/>
  <c r="O300" i="4"/>
  <c r="O301" i="4"/>
  <c r="O302" i="4"/>
  <c r="O303" i="4"/>
  <c r="O304" i="4"/>
  <c r="O305" i="4"/>
  <c r="O306" i="4"/>
  <c r="O307" i="4"/>
  <c r="O308" i="4"/>
  <c r="O309" i="4"/>
  <c r="O310" i="4"/>
  <c r="O311" i="4"/>
  <c r="O312" i="4"/>
  <c r="O313" i="4"/>
  <c r="O314" i="4"/>
  <c r="O315" i="4"/>
  <c r="O316" i="4"/>
  <c r="O317" i="4"/>
  <c r="O318" i="4"/>
  <c r="O319" i="4"/>
  <c r="O320" i="4"/>
  <c r="O321" i="4"/>
  <c r="Q2" i="4"/>
  <c r="P2" i="4"/>
  <c r="O2" i="4"/>
  <c r="J164" i="4" s="1"/>
  <c r="J263" i="4"/>
  <c r="J250" i="4"/>
  <c r="J233" i="4"/>
  <c r="J73" i="4"/>
  <c r="L35" i="3"/>
  <c r="L87" i="3"/>
  <c r="L135" i="3"/>
  <c r="L138" i="3"/>
  <c r="L197" i="3"/>
  <c r="L229" i="3"/>
  <c r="L313" i="3"/>
  <c r="L315" i="3"/>
  <c r="J73" i="3"/>
  <c r="J233" i="3"/>
  <c r="J250" i="3"/>
  <c r="J263" i="3"/>
  <c r="J164" i="3" l="1"/>
</calcChain>
</file>

<file path=xl/sharedStrings.xml><?xml version="1.0" encoding="utf-8"?>
<sst xmlns="http://schemas.openxmlformats.org/spreadsheetml/2006/main" count="3076" uniqueCount="168">
  <si>
    <t>store_id</t>
  </si>
  <si>
    <t>month</t>
  </si>
  <si>
    <t>region</t>
  </si>
  <si>
    <t>store_type</t>
  </si>
  <si>
    <t>marketing_spend</t>
  </si>
  <si>
    <t>footfall</t>
  </si>
  <si>
    <t>avg_discount_pct</t>
  </si>
  <si>
    <t>staff_count</t>
  </si>
  <si>
    <t>inventory_availability_pct</t>
  </si>
  <si>
    <t>competitor_distance_km</t>
  </si>
  <si>
    <t>holiday_flag</t>
  </si>
  <si>
    <t>customer_rating</t>
  </si>
  <si>
    <t>monthly_sales</t>
  </si>
  <si>
    <t>monthly_profit</t>
  </si>
  <si>
    <t>STR-1001</t>
  </si>
  <si>
    <t>East</t>
  </si>
  <si>
    <t>Residential</t>
  </si>
  <si>
    <t>STR-1002</t>
  </si>
  <si>
    <t>High Street</t>
  </si>
  <si>
    <t>STR-1003</t>
  </si>
  <si>
    <t>North</t>
  </si>
  <si>
    <t>Airport</t>
  </si>
  <si>
    <t>STR-1004</t>
  </si>
  <si>
    <t>STR-1005</t>
  </si>
  <si>
    <t>South</t>
  </si>
  <si>
    <t>STR-1006</t>
  </si>
  <si>
    <t>STR-1007</t>
  </si>
  <si>
    <t>West</t>
  </si>
  <si>
    <t>Mall</t>
  </si>
  <si>
    <t>STR-1008</t>
  </si>
  <si>
    <t>STR-1009</t>
  </si>
  <si>
    <t>STR-1010</t>
  </si>
  <si>
    <t>STR-1011</t>
  </si>
  <si>
    <t>STR-1012</t>
  </si>
  <si>
    <t>STR-1013</t>
  </si>
  <si>
    <t>STR-1014</t>
  </si>
  <si>
    <t>STR-1015</t>
  </si>
  <si>
    <t>STR-1016</t>
  </si>
  <si>
    <t>STR-1017</t>
  </si>
  <si>
    <t>STR-1018</t>
  </si>
  <si>
    <t>STR-1019</t>
  </si>
  <si>
    <t>STR-1020</t>
  </si>
  <si>
    <t>STR-1021</t>
  </si>
  <si>
    <t>STR-1022</t>
  </si>
  <si>
    <t>STR-1023</t>
  </si>
  <si>
    <t>STR-1024</t>
  </si>
  <si>
    <t>STR-1025</t>
  </si>
  <si>
    <t>STR-1026</t>
  </si>
  <si>
    <t>STR-1027</t>
  </si>
  <si>
    <t>STR-1028</t>
  </si>
  <si>
    <t>STR-1029</t>
  </si>
  <si>
    <t>STR-1030</t>
  </si>
  <si>
    <t>STR-1031</t>
  </si>
  <si>
    <t>STR-1032</t>
  </si>
  <si>
    <t>STR-1033</t>
  </si>
  <si>
    <t>STR-1034</t>
  </si>
  <si>
    <t>STR-1035</t>
  </si>
  <si>
    <t>STR-1036</t>
  </si>
  <si>
    <t>STR-1037</t>
  </si>
  <si>
    <t>STR-1038</t>
  </si>
  <si>
    <t>STR-1039</t>
  </si>
  <si>
    <t>STR-1040</t>
  </si>
  <si>
    <t>STR-1041</t>
  </si>
  <si>
    <t>STR-1042</t>
  </si>
  <si>
    <t>STR-1043</t>
  </si>
  <si>
    <t>STR-1044</t>
  </si>
  <si>
    <t>STR-1045</t>
  </si>
  <si>
    <t>STR-1046</t>
  </si>
  <si>
    <t>STR-1047</t>
  </si>
  <si>
    <t>STR-1048</t>
  </si>
  <si>
    <t>STR-1049</t>
  </si>
  <si>
    <t>STR-1050</t>
  </si>
  <si>
    <t>STR-1051</t>
  </si>
  <si>
    <t>STR-1052</t>
  </si>
  <si>
    <t>STR-1053</t>
  </si>
  <si>
    <t>STR-1054</t>
  </si>
  <si>
    <t>STR-1055</t>
  </si>
  <si>
    <t>STR-1056</t>
  </si>
  <si>
    <t>STR-1057</t>
  </si>
  <si>
    <t>STR-1058</t>
  </si>
  <si>
    <t>STR-1059</t>
  </si>
  <si>
    <t>STR-1060</t>
  </si>
  <si>
    <t>STR-1061</t>
  </si>
  <si>
    <t>STR-1062</t>
  </si>
  <si>
    <t>STR-1063</t>
  </si>
  <si>
    <t>STR-1064</t>
  </si>
  <si>
    <t>STR-1065</t>
  </si>
  <si>
    <t>STR-1066</t>
  </si>
  <si>
    <t>STR-1067</t>
  </si>
  <si>
    <t>STR-1068</t>
  </si>
  <si>
    <t>STR-1069</t>
  </si>
  <si>
    <t>STR-1070</t>
  </si>
  <si>
    <t>STR-1071</t>
  </si>
  <si>
    <t>STR-1072</t>
  </si>
  <si>
    <t>STR-1073</t>
  </si>
  <si>
    <t>STR-1074</t>
  </si>
  <si>
    <t>STR-1075</t>
  </si>
  <si>
    <t>STR-1076</t>
  </si>
  <si>
    <t>STR-1077</t>
  </si>
  <si>
    <t>STR-1078</t>
  </si>
  <si>
    <t>STR-1079</t>
  </si>
  <si>
    <t>STR-1080</t>
  </si>
  <si>
    <t>Column</t>
  </si>
  <si>
    <t>Description</t>
  </si>
  <si>
    <t>Unique store identifier.</t>
  </si>
  <si>
    <t>Reporting month.</t>
  </si>
  <si>
    <t>Business region.</t>
  </si>
  <si>
    <t>Mall, High Street, Residential, or Airport.</t>
  </si>
  <si>
    <t>Monthly marketing spend for the store.</t>
  </si>
  <si>
    <t>Monthly visitor count.</t>
  </si>
  <si>
    <t>Average discount percentage for the month.</t>
  </si>
  <si>
    <t>Number of store staff.</t>
  </si>
  <si>
    <t>Average product availability percentage.</t>
  </si>
  <si>
    <t>Distance to nearest competitor.</t>
  </si>
  <si>
    <t>1 if the month/store period had a meaningful holiday effect; otherwise 0.</t>
  </si>
  <si>
    <t>Average customer rating.</t>
  </si>
  <si>
    <t>Dependent variable for sales regression.</t>
  </si>
  <si>
    <t>Optional secondary business metric.</t>
  </si>
  <si>
    <t>Region_East</t>
  </si>
  <si>
    <t>Region_North</t>
  </si>
  <si>
    <t>Region_South</t>
  </si>
  <si>
    <t>Store_Residential</t>
  </si>
  <si>
    <t>Store_HighStreet</t>
  </si>
  <si>
    <t>Store_Airport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</si>
  <si>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</si>
  <si>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</si>
  <si>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</si>
  <si>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</si>
  <si>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</si>
  <si>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</si>
  <si>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</si>
  <si>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</si>
  <si>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</si>
  <si>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</si>
  <si>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</si>
  <si>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</si>
  <si>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</si>
  <si>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</si>
  <si>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</si>
  <si>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</si>
  <si>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</si>
  <si>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</si>
  <si>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</si>
  <si>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</si>
  <si>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</si>
  <si>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</si>
  <si>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</si>
  <si>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</si>
  <si>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Predicted_Sales</t>
  </si>
  <si>
    <t>Squared_Error</t>
  </si>
  <si>
    <t>A</t>
  </si>
  <si>
    <t>B</t>
  </si>
  <si>
    <t>C</t>
  </si>
  <si>
    <t>Metric</t>
  </si>
  <si>
    <t>Simple Regression</t>
  </si>
  <si>
    <t>Multiple Regression</t>
  </si>
  <si>
    <t>Better Model</t>
  </si>
  <si>
    <t>Reason</t>
  </si>
  <si>
    <t>Overall Performance</t>
  </si>
  <si>
    <t>Higher R Square (0.8285 vs 0.1672)</t>
  </si>
  <si>
    <t>Prediction Accuracy</t>
  </si>
  <si>
    <t>Lower Standard Error (43526.8 vs 94846.0)</t>
  </si>
  <si>
    <t>Statistical Significance</t>
  </si>
  <si>
    <t>Both</t>
  </si>
  <si>
    <t>Both have very small Significance F values</t>
  </si>
  <si>
    <t>Final Choice</t>
  </si>
  <si>
    <t>Explains much more variation in monthly sales</t>
  </si>
  <si>
    <t>Predicted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</si>
</sst>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5">
    <font>
      <sz val="11"/>
      <name val="Carlito"/>
    </font>
    <font>
      <b/>
      <sz val="11"/>
      <color rgb="FFFFFFFF"/>
      <name val="Carlito"/>
    </font>
    <font>
      <sz val="11"/>
      <color theme="0"/>
      <name val="Carlito"/>
    </font>
    <font>
      <i/>
      <sz val="11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365F91"/>
      </patternFill>
    </fill>
    <fill>
      <patternFill patternType="solid">
        <fgColor theme="3" tint="0.249977111117893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0" fontId="0" fillId="0" borderId="0" xfId="0" applyAlignment="1">
      <alignment wrapText="1"/>
    </xf>
    <xf numFmtId="0" fontId="0" fillId="0" borderId="0" xfId="0" quotePrefix="1"/>
    <xf numFmtId="0" fontId="2" fillId="3" borderId="0" xfId="0" applyFont="1" applyFill="1"/>
    <xf numFmtId="0" fontId="0" fillId="0" borderId="1" xfId="0" applyFill="1" applyBorder="1" applyAlignment="1"/>
    <xf numFmtId="0" fontId="0" fillId="0" borderId="2" xfId="0" applyFill="1" applyBorder="1" applyAlignment="1"/>
    <xf numFmtId="0" fontId="3" fillId="0" borderId="3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Continuous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1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21"/>
  <sheetViews>
    <sheetView tabSelected="1" workbookViewId="0">
      <selection activeCell="C16" sqref="C16"/>
    </sheetView>
  </sheetViews>
  <sheetFormatPr defaultRowHeight="14"/>
  <cols>
    <col min="1" max="14" width="16" customWidth="1"/>
  </cols>
  <sheetData>
    <row r="1" spans="1:14" ht="18.64999999999999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CDAB1-221E-4468-A3F4-CC95C68232D7}">
  <dimension ref="A1:N321"/>
  <sheetViews>
    <sheetView workbookViewId="0">
      <selection activeCell="C7" sqref="A1:N321"/>
    </sheetView>
  </sheetViews>
  <sheetFormatPr defaultRowHeight="14"/>
  <sheetData>
    <row r="1" spans="1:14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</row>
    <row r="3" spans="1:14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</row>
    <row r="4" spans="1:14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</row>
    <row r="5" spans="1:14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</row>
    <row r="6" spans="1:14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</row>
    <row r="7" spans="1:14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</row>
    <row r="8" spans="1:14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</row>
    <row r="9" spans="1:14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</row>
    <row r="10" spans="1:14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</row>
    <row r="11" spans="1:14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</row>
    <row r="12" spans="1:14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</row>
    <row r="13" spans="1:14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</row>
    <row r="14" spans="1:14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</row>
    <row r="15" spans="1:14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</row>
    <row r="16" spans="1:14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</row>
    <row r="17" spans="1:14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</row>
    <row r="18" spans="1:14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</row>
    <row r="19" spans="1:14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</row>
    <row r="20" spans="1:14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</row>
    <row r="21" spans="1:14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</row>
    <row r="22" spans="1:14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</row>
    <row r="23" spans="1:14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</row>
    <row r="24" spans="1:14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</row>
    <row r="25" spans="1:14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</row>
    <row r="26" spans="1:14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</row>
    <row r="27" spans="1:14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</row>
    <row r="28" spans="1:14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</row>
    <row r="29" spans="1:14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</row>
    <row r="30" spans="1:14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</row>
    <row r="31" spans="1:14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</row>
    <row r="32" spans="1:14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</row>
    <row r="33" spans="1:14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</row>
    <row r="34" spans="1:14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</row>
    <row r="35" spans="1:14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f>3.924</f>
        <v>3.9239999999999999</v>
      </c>
      <c r="M35">
        <v>799477.76000000001</v>
      </c>
      <c r="N35">
        <v>164974.41</v>
      </c>
    </row>
    <row r="36" spans="1:14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</row>
    <row r="37" spans="1:14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</row>
    <row r="38" spans="1:14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</row>
    <row r="39" spans="1:14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</row>
    <row r="40" spans="1:14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</row>
    <row r="41" spans="1:14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</row>
    <row r="42" spans="1:14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</row>
    <row r="43" spans="1:14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</row>
    <row r="44" spans="1:14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</row>
    <row r="45" spans="1:14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</row>
    <row r="46" spans="1:14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</row>
    <row r="47" spans="1:14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</row>
    <row r="48" spans="1:14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</row>
    <row r="49" spans="1:14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</row>
    <row r="50" spans="1:14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</row>
    <row r="51" spans="1:14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</row>
    <row r="52" spans="1:14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</row>
    <row r="53" spans="1:14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</row>
    <row r="54" spans="1:14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</row>
    <row r="55" spans="1:14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</row>
    <row r="56" spans="1:14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</row>
    <row r="57" spans="1:14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</row>
    <row r="58" spans="1:14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</row>
    <row r="59" spans="1:14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</row>
    <row r="60" spans="1:14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</row>
    <row r="61" spans="1:14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</row>
    <row r="62" spans="1:14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</row>
    <row r="63" spans="1:14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</row>
    <row r="64" spans="1:14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</row>
    <row r="65" spans="1:14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</row>
    <row r="66" spans="1:14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</row>
    <row r="67" spans="1:14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</row>
    <row r="68" spans="1:14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</row>
    <row r="69" spans="1:14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</row>
    <row r="70" spans="1:14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</row>
    <row r="71" spans="1:14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</row>
    <row r="72" spans="1:14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</row>
    <row r="73" spans="1:14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 s="4">
        <f>4.559045</f>
        <v>4.5590450000000002</v>
      </c>
      <c r="K73">
        <v>0</v>
      </c>
      <c r="L73">
        <v>3.5</v>
      </c>
      <c r="M73">
        <v>674774.09</v>
      </c>
      <c r="N73">
        <v>141917.59</v>
      </c>
    </row>
    <row r="74" spans="1:14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</row>
    <row r="75" spans="1:14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</row>
    <row r="76" spans="1:14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</row>
    <row r="77" spans="1:14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</row>
    <row r="78" spans="1:14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</row>
    <row r="79" spans="1:14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</row>
    <row r="80" spans="1:14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</row>
    <row r="81" spans="1:14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</row>
    <row r="82" spans="1:14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</row>
    <row r="83" spans="1:14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</row>
    <row r="84" spans="1:14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</row>
    <row r="85" spans="1:14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</row>
    <row r="86" spans="1:14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</row>
    <row r="87" spans="1:14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f>3.924</f>
        <v>3.9239999999999999</v>
      </c>
      <c r="M87">
        <v>611766.72</v>
      </c>
      <c r="N87">
        <v>88275.61</v>
      </c>
    </row>
    <row r="88" spans="1:14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</row>
    <row r="89" spans="1:14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</row>
    <row r="90" spans="1:14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</row>
    <row r="91" spans="1:14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</row>
    <row r="92" spans="1:14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</row>
    <row r="93" spans="1:14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</row>
    <row r="94" spans="1:14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</row>
    <row r="95" spans="1:14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</row>
    <row r="96" spans="1:14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</row>
    <row r="97" spans="1:14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</row>
    <row r="98" spans="1:14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</row>
    <row r="99" spans="1:14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</row>
    <row r="100" spans="1:14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4.5590450000000002</v>
      </c>
      <c r="K100">
        <v>0</v>
      </c>
      <c r="L100">
        <v>4.3</v>
      </c>
      <c r="M100">
        <v>605775.32999999996</v>
      </c>
      <c r="N100">
        <v>107194.6</v>
      </c>
    </row>
    <row r="101" spans="1:14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</row>
    <row r="102" spans="1:14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</row>
    <row r="103" spans="1:14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</row>
    <row r="104" spans="1:14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</row>
    <row r="105" spans="1:14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</row>
    <row r="106" spans="1:14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</row>
    <row r="107" spans="1:14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</row>
    <row r="108" spans="1:14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</row>
    <row r="109" spans="1:14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</row>
    <row r="110" spans="1:14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</row>
    <row r="111" spans="1:14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</row>
    <row r="112" spans="1:14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</row>
    <row r="113" spans="1:14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</row>
    <row r="114" spans="1:14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</row>
    <row r="115" spans="1:14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</row>
    <row r="116" spans="1:14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</row>
    <row r="117" spans="1:14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</row>
    <row r="118" spans="1:14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</row>
    <row r="119" spans="1:14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</row>
    <row r="120" spans="1:14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</row>
    <row r="121" spans="1:14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</row>
    <row r="122" spans="1:14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</row>
    <row r="123" spans="1:14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</row>
    <row r="124" spans="1:14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</row>
    <row r="125" spans="1:14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</row>
    <row r="126" spans="1:14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</row>
    <row r="127" spans="1:14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</row>
    <row r="128" spans="1:14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</row>
    <row r="129" spans="1:14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</row>
    <row r="130" spans="1:14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</row>
    <row r="131" spans="1:14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</row>
    <row r="132" spans="1:14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</row>
    <row r="133" spans="1:14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</row>
    <row r="134" spans="1:14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</row>
    <row r="135" spans="1:14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f>3.924</f>
        <v>3.9239999999999999</v>
      </c>
      <c r="M135">
        <v>400831.65</v>
      </c>
      <c r="N135">
        <v>70979.31</v>
      </c>
    </row>
    <row r="136" spans="1:14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</row>
    <row r="137" spans="1:14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</row>
    <row r="138" spans="1:14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f>3.924</f>
        <v>3.9239999999999999</v>
      </c>
      <c r="M138">
        <v>633638.03</v>
      </c>
      <c r="N138">
        <v>99402.01</v>
      </c>
    </row>
    <row r="139" spans="1:14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</row>
    <row r="140" spans="1:14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</row>
    <row r="141" spans="1:14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</row>
    <row r="142" spans="1:14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</row>
    <row r="143" spans="1:14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</row>
    <row r="144" spans="1:14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</row>
    <row r="145" spans="1:14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</row>
    <row r="146" spans="1:14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</row>
    <row r="147" spans="1:14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</row>
    <row r="148" spans="1:14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</row>
    <row r="149" spans="1:14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</row>
    <row r="150" spans="1:14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</row>
    <row r="151" spans="1:14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</row>
    <row r="152" spans="1:14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</row>
    <row r="153" spans="1:14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</row>
    <row r="154" spans="1:14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</row>
    <row r="155" spans="1:14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</row>
    <row r="156" spans="1:14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</row>
    <row r="157" spans="1:14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</row>
    <row r="158" spans="1:14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</row>
    <row r="159" spans="1:14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</row>
    <row r="160" spans="1:14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</row>
    <row r="161" spans="1:14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</row>
    <row r="162" spans="1:14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</row>
    <row r="163" spans="1:14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</row>
    <row r="164" spans="1:14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f>O2</f>
        <v>0</v>
      </c>
      <c r="K164">
        <v>0</v>
      </c>
      <c r="L164">
        <v>4.2</v>
      </c>
      <c r="M164">
        <v>677096.71</v>
      </c>
      <c r="N164">
        <v>97174.11</v>
      </c>
    </row>
    <row r="165" spans="1:14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</row>
    <row r="166" spans="1:14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</row>
    <row r="167" spans="1:14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</row>
    <row r="168" spans="1:14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</row>
    <row r="169" spans="1:14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</row>
    <row r="170" spans="1:14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</row>
    <row r="171" spans="1:14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</row>
    <row r="172" spans="1:14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</row>
    <row r="173" spans="1:14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</row>
    <row r="174" spans="1:14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</row>
    <row r="175" spans="1:14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</row>
    <row r="176" spans="1:14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</row>
    <row r="177" spans="1:14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</row>
    <row r="178" spans="1:14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</row>
    <row r="179" spans="1:14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</row>
    <row r="180" spans="1:14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</row>
    <row r="181" spans="1:14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</row>
    <row r="182" spans="1:14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</row>
    <row r="183" spans="1:14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</row>
    <row r="184" spans="1:14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</row>
    <row r="185" spans="1:14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</row>
    <row r="186" spans="1:14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</row>
    <row r="187" spans="1:14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</row>
    <row r="188" spans="1:14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</row>
    <row r="189" spans="1:14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</row>
    <row r="190" spans="1:14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</row>
    <row r="191" spans="1:14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</row>
    <row r="192" spans="1:14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</row>
    <row r="193" spans="1:14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</row>
    <row r="194" spans="1:14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</row>
    <row r="195" spans="1:14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</row>
    <row r="196" spans="1:14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</row>
    <row r="197" spans="1:14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f>3.924</f>
        <v>3.9239999999999999</v>
      </c>
      <c r="M197">
        <v>449465.06</v>
      </c>
      <c r="N197">
        <v>65694.78</v>
      </c>
    </row>
    <row r="198" spans="1:14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</row>
    <row r="199" spans="1:14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</row>
    <row r="200" spans="1:14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</row>
    <row r="201" spans="1:14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</row>
    <row r="202" spans="1:14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</row>
    <row r="203" spans="1:14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</row>
    <row r="204" spans="1:14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</row>
    <row r="205" spans="1:14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</row>
    <row r="206" spans="1:14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</row>
    <row r="207" spans="1:14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</row>
    <row r="208" spans="1:14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</row>
    <row r="209" spans="1:14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</row>
    <row r="210" spans="1:14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</row>
    <row r="211" spans="1:14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</row>
    <row r="212" spans="1:14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</row>
    <row r="213" spans="1:14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</row>
    <row r="214" spans="1:14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</row>
    <row r="215" spans="1:14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</row>
    <row r="216" spans="1:14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</row>
    <row r="217" spans="1:14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</row>
    <row r="218" spans="1:14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</row>
    <row r="219" spans="1:14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</row>
    <row r="220" spans="1:14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</row>
    <row r="221" spans="1:14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</row>
    <row r="222" spans="1:14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</row>
    <row r="223" spans="1:14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</row>
    <row r="224" spans="1:14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</row>
    <row r="225" spans="1:14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</row>
    <row r="226" spans="1:14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</row>
    <row r="227" spans="1:14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</row>
    <row r="228" spans="1:14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</row>
    <row r="229" spans="1:14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f>3.924</f>
        <v>3.9239999999999999</v>
      </c>
      <c r="M229">
        <v>529598.93999999994</v>
      </c>
      <c r="N229">
        <v>84334.33</v>
      </c>
    </row>
    <row r="230" spans="1:14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</row>
    <row r="231" spans="1:14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</row>
    <row r="232" spans="1:14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</row>
    <row r="233" spans="1:14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f>O71</f>
        <v>0</v>
      </c>
      <c r="K233">
        <v>0</v>
      </c>
      <c r="L233">
        <v>3.7</v>
      </c>
      <c r="M233">
        <v>647512.85</v>
      </c>
      <c r="N233">
        <v>153835.57</v>
      </c>
    </row>
    <row r="234" spans="1:14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</row>
    <row r="235" spans="1:14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</row>
    <row r="236" spans="1:14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</row>
    <row r="237" spans="1:14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</row>
    <row r="238" spans="1:14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</row>
    <row r="239" spans="1:14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</row>
    <row r="240" spans="1:14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</row>
    <row r="241" spans="1:14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</row>
    <row r="242" spans="1:14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</row>
    <row r="243" spans="1:14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</row>
    <row r="244" spans="1:14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</row>
    <row r="245" spans="1:14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</row>
    <row r="246" spans="1:14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</row>
    <row r="247" spans="1:14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</row>
    <row r="248" spans="1:14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</row>
    <row r="249" spans="1:14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</row>
    <row r="250" spans="1:14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f>O88</f>
        <v>0</v>
      </c>
      <c r="K250">
        <v>0</v>
      </c>
      <c r="L250">
        <v>3.8</v>
      </c>
      <c r="M250">
        <v>606783.67000000004</v>
      </c>
      <c r="N250">
        <v>74515.87</v>
      </c>
    </row>
    <row r="251" spans="1:14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</row>
    <row r="252" spans="1:14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</row>
    <row r="253" spans="1:14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</row>
    <row r="254" spans="1:14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</row>
    <row r="255" spans="1:14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</row>
    <row r="256" spans="1:14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</row>
    <row r="257" spans="1:14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</row>
    <row r="258" spans="1:14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</row>
    <row r="259" spans="1:14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</row>
    <row r="260" spans="1:14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</row>
    <row r="261" spans="1:14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</row>
    <row r="262" spans="1:14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</row>
    <row r="263" spans="1:14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f>O101</f>
        <v>0</v>
      </c>
      <c r="K263">
        <v>0</v>
      </c>
      <c r="L263">
        <v>4.2</v>
      </c>
      <c r="M263">
        <v>605751.32999999996</v>
      </c>
      <c r="N263">
        <v>60685.53</v>
      </c>
    </row>
    <row r="264" spans="1:14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</row>
    <row r="265" spans="1:14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</row>
    <row r="266" spans="1:14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</row>
    <row r="267" spans="1:14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</row>
    <row r="268" spans="1:14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</row>
    <row r="269" spans="1:14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</row>
    <row r="270" spans="1:14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</row>
    <row r="271" spans="1:14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</row>
    <row r="272" spans="1:14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</row>
    <row r="273" spans="1:14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</row>
    <row r="274" spans="1:14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</row>
    <row r="275" spans="1:14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</row>
    <row r="276" spans="1:14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</row>
    <row r="277" spans="1:14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</row>
    <row r="278" spans="1:14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</row>
    <row r="279" spans="1:14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</row>
    <row r="280" spans="1:14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</row>
    <row r="281" spans="1:14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</row>
    <row r="282" spans="1:14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</row>
    <row r="283" spans="1:14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</row>
    <row r="284" spans="1:14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</row>
    <row r="285" spans="1:14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</row>
    <row r="286" spans="1:14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</row>
    <row r="287" spans="1:14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</row>
    <row r="288" spans="1:14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</row>
    <row r="289" spans="1:14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</row>
    <row r="290" spans="1:14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</row>
    <row r="291" spans="1:14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</row>
    <row r="292" spans="1:14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</row>
    <row r="293" spans="1:14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</row>
    <row r="294" spans="1:14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</row>
    <row r="295" spans="1:14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</row>
    <row r="296" spans="1:14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</row>
    <row r="297" spans="1:14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</row>
    <row r="298" spans="1:14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</row>
    <row r="299" spans="1:14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</row>
    <row r="300" spans="1:14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</row>
    <row r="301" spans="1:14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</row>
    <row r="302" spans="1:14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</row>
    <row r="303" spans="1:14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</row>
    <row r="304" spans="1:14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</row>
    <row r="305" spans="1:14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</row>
    <row r="306" spans="1:14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</row>
    <row r="307" spans="1:14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</row>
    <row r="308" spans="1:14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</row>
    <row r="309" spans="1:14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</row>
    <row r="310" spans="1:14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</row>
    <row r="311" spans="1:14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</row>
    <row r="312" spans="1:14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</row>
    <row r="313" spans="1:14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f>3.924</f>
        <v>3.9239999999999999</v>
      </c>
      <c r="M313">
        <v>771129.07</v>
      </c>
      <c r="N313">
        <v>116851.13</v>
      </c>
    </row>
    <row r="314" spans="1:14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</row>
    <row r="315" spans="1:14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f>3.924</f>
        <v>3.9239999999999999</v>
      </c>
      <c r="M315">
        <v>688368.46</v>
      </c>
      <c r="N315">
        <v>93588.42</v>
      </c>
    </row>
    <row r="316" spans="1:14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</row>
    <row r="317" spans="1:14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</row>
    <row r="318" spans="1:14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</row>
    <row r="319" spans="1:14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</row>
    <row r="320" spans="1:14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</row>
    <row r="321" spans="1:14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D996EB-3891-49AC-82BD-98AE3AE6C06B}">
  <dimension ref="A1:I18"/>
  <sheetViews>
    <sheetView workbookViewId="0">
      <selection activeCell="K9" sqref="K9"/>
    </sheetView>
  </sheetViews>
  <sheetFormatPr defaultRowHeight="14"/>
  <cols>
    <col min="2" max="2" width="18.9140625" customWidth="1"/>
    <col min="3" max="3" width="17.33203125" customWidth="1"/>
    <col min="4" max="4" width="15.25" customWidth="1"/>
    <col min="5" max="5" width="17.33203125" customWidth="1"/>
    <col min="6" max="6" width="13.9140625" customWidth="1"/>
    <col min="7" max="7" width="16.9140625" customWidth="1"/>
    <col min="8" max="8" width="18.5" customWidth="1"/>
    <col min="9" max="9" width="17.75" customWidth="1"/>
  </cols>
  <sheetData>
    <row r="1" spans="1:9">
      <c r="A1" t="s">
        <v>124</v>
      </c>
    </row>
    <row r="2" spans="1:9" ht="14.5" thickBot="1"/>
    <row r="3" spans="1:9" ht="14.5">
      <c r="A3" s="9" t="s">
        <v>125</v>
      </c>
      <c r="B3" s="9"/>
    </row>
    <row r="4" spans="1:9">
      <c r="A4" s="6" t="s">
        <v>126</v>
      </c>
      <c r="B4" s="6">
        <v>0.40895561021322352</v>
      </c>
    </row>
    <row r="5" spans="1:9">
      <c r="A5" s="6" t="s">
        <v>127</v>
      </c>
      <c r="B5" s="6">
        <v>0.16724469112487</v>
      </c>
    </row>
    <row r="6" spans="1:9">
      <c r="A6" s="6" t="s">
        <v>128</v>
      </c>
      <c r="B6" s="6">
        <v>0.16462596373847024</v>
      </c>
    </row>
    <row r="7" spans="1:9">
      <c r="A7" s="6" t="s">
        <v>129</v>
      </c>
      <c r="B7" s="6">
        <v>94846.03383215853</v>
      </c>
    </row>
    <row r="8" spans="1:9" ht="14.5" thickBot="1">
      <c r="A8" s="7" t="s">
        <v>130</v>
      </c>
      <c r="B8" s="7">
        <v>320</v>
      </c>
    </row>
    <row r="10" spans="1:9" ht="14.5" thickBot="1">
      <c r="A10" t="s">
        <v>131</v>
      </c>
    </row>
    <row r="11" spans="1:9" ht="14.5">
      <c r="A11" s="8"/>
      <c r="B11" s="8" t="s">
        <v>136</v>
      </c>
      <c r="C11" s="8" t="s">
        <v>137</v>
      </c>
      <c r="D11" s="8" t="s">
        <v>138</v>
      </c>
      <c r="E11" s="8" t="s">
        <v>139</v>
      </c>
      <c r="F11" s="8" t="s">
        <v>140</v>
      </c>
    </row>
    <row r="12" spans="1:9">
      <c r="A12" s="6" t="s">
        <v>132</v>
      </c>
      <c r="B12" s="6">
        <v>1</v>
      </c>
      <c r="C12" s="6">
        <v>574513714277.01416</v>
      </c>
      <c r="D12" s="6">
        <v>574513714277.01416</v>
      </c>
      <c r="E12" s="6">
        <v>63.864872683367629</v>
      </c>
      <c r="F12" s="6">
        <v>2.4800615101359619E-14</v>
      </c>
    </row>
    <row r="13" spans="1:9">
      <c r="A13" s="6" t="s">
        <v>133</v>
      </c>
      <c r="B13" s="6">
        <v>318</v>
      </c>
      <c r="C13" s="6">
        <v>2860654902513.7251</v>
      </c>
      <c r="D13" s="6">
        <v>8995770133.6909599</v>
      </c>
      <c r="E13" s="6"/>
      <c r="F13" s="6"/>
    </row>
    <row r="14" spans="1:9" ht="14.5" thickBot="1">
      <c r="A14" s="7" t="s">
        <v>134</v>
      </c>
      <c r="B14" s="7">
        <v>319</v>
      </c>
      <c r="C14" s="7">
        <v>3435168616790.7393</v>
      </c>
      <c r="D14" s="7"/>
      <c r="E14" s="7"/>
      <c r="F14" s="7"/>
    </row>
    <row r="15" spans="1:9" ht="14.5" thickBot="1"/>
    <row r="16" spans="1:9" ht="14.5">
      <c r="A16" s="8"/>
      <c r="B16" s="8" t="s">
        <v>141</v>
      </c>
      <c r="C16" s="8" t="s">
        <v>129</v>
      </c>
      <c r="D16" s="8" t="s">
        <v>142</v>
      </c>
      <c r="E16" s="8" t="s">
        <v>143</v>
      </c>
      <c r="F16" s="8" t="s">
        <v>144</v>
      </c>
      <c r="G16" s="8" t="s">
        <v>145</v>
      </c>
      <c r="H16" s="8" t="s">
        <v>146</v>
      </c>
      <c r="I16" s="8" t="s">
        <v>147</v>
      </c>
    </row>
    <row r="17" spans="1:9">
      <c r="A17" s="6" t="s">
        <v>135</v>
      </c>
      <c r="B17" s="6">
        <v>560777.34544943704</v>
      </c>
      <c r="C17" s="6">
        <v>15906.905953068674</v>
      </c>
      <c r="D17" s="6">
        <v>35.253703460870398</v>
      </c>
      <c r="E17" s="6">
        <v>6.952876876284135E-112</v>
      </c>
      <c r="F17" s="6">
        <v>529481.27234763221</v>
      </c>
      <c r="G17" s="6">
        <v>592073.41855124186</v>
      </c>
      <c r="H17" s="6">
        <v>529481.27234763221</v>
      </c>
      <c r="I17" s="6">
        <v>592073.41855124186</v>
      </c>
    </row>
    <row r="18" spans="1:9" ht="14.5" thickBot="1">
      <c r="A18" s="7" t="s">
        <v>4</v>
      </c>
      <c r="B18" s="7">
        <v>2.1295753275898281</v>
      </c>
      <c r="C18" s="7">
        <v>0.26647838106932348</v>
      </c>
      <c r="D18" s="7">
        <v>7.991550080138869</v>
      </c>
      <c r="E18" s="7">
        <v>2.4800615101360068E-14</v>
      </c>
      <c r="F18" s="7">
        <v>1.6052919176921738</v>
      </c>
      <c r="G18" s="7">
        <v>2.6538587374874822</v>
      </c>
      <c r="H18" s="7">
        <v>1.6052919176921738</v>
      </c>
      <c r="I18" s="7">
        <v>2.6538587374874822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89588-05B5-4953-8F9F-1F893A555160}">
  <dimension ref="A1:T321"/>
  <sheetViews>
    <sheetView topLeftCell="A229" workbookViewId="0">
      <selection activeCell="F235" sqref="A1:T321"/>
    </sheetView>
  </sheetViews>
  <sheetFormatPr defaultRowHeight="14"/>
  <cols>
    <col min="15" max="15" width="11.33203125" customWidth="1"/>
    <col min="16" max="16" width="13.4140625" customWidth="1"/>
    <col min="17" max="17" width="12.08203125" customWidth="1"/>
    <col min="18" max="18" width="12.4140625" customWidth="1"/>
    <col min="19" max="19" width="11.5" customWidth="1"/>
  </cols>
  <sheetData>
    <row r="1" spans="1:20" ht="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118</v>
      </c>
      <c r="P1" s="1" t="s">
        <v>119</v>
      </c>
      <c r="Q1" s="1" t="s">
        <v>120</v>
      </c>
      <c r="R1" s="1" t="s">
        <v>121</v>
      </c>
      <c r="S1" s="1" t="s">
        <v>122</v>
      </c>
      <c r="T1" s="1" t="s">
        <v>123</v>
      </c>
    </row>
    <row r="2" spans="1:20">
      <c r="A2" t="s">
        <v>14</v>
      </c>
      <c r="B2" s="2">
        <v>45658</v>
      </c>
      <c r="C2" t="s">
        <v>15</v>
      </c>
      <c r="D2" t="s">
        <v>16</v>
      </c>
      <c r="E2">
        <v>70389.11</v>
      </c>
      <c r="F2">
        <v>8302</v>
      </c>
      <c r="G2">
        <v>4.2000000000000003E-2</v>
      </c>
      <c r="H2">
        <v>17</v>
      </c>
      <c r="I2">
        <v>75</v>
      </c>
      <c r="J2">
        <v>5.28</v>
      </c>
      <c r="K2">
        <v>1</v>
      </c>
      <c r="L2">
        <v>3.1</v>
      </c>
      <c r="M2">
        <v>658832.62</v>
      </c>
      <c r="N2">
        <v>84349.93</v>
      </c>
      <c r="O2">
        <f>IF(C2="East",1,0)</f>
        <v>1</v>
      </c>
      <c r="P2">
        <f>IF(C2="North",1,0)</f>
        <v>0</v>
      </c>
      <c r="Q2">
        <f>IF(C2="South",1,0)</f>
        <v>0</v>
      </c>
      <c r="R2">
        <f>IF(D2="Residential",1,0)</f>
        <v>1</v>
      </c>
      <c r="S2">
        <f>IF(D2="High Street",1,0)</f>
        <v>0</v>
      </c>
      <c r="T2">
        <f>IF(D2="Airport",1,0)</f>
        <v>0</v>
      </c>
    </row>
    <row r="3" spans="1:20">
      <c r="A3" t="s">
        <v>14</v>
      </c>
      <c r="B3" s="2">
        <v>45689</v>
      </c>
      <c r="C3" t="s">
        <v>15</v>
      </c>
      <c r="D3" t="s">
        <v>16</v>
      </c>
      <c r="E3">
        <v>43827.89</v>
      </c>
      <c r="F3">
        <v>8487</v>
      </c>
      <c r="G3">
        <v>0.16800000000000001</v>
      </c>
      <c r="H3">
        <v>23</v>
      </c>
      <c r="I3">
        <v>84.4</v>
      </c>
      <c r="J3">
        <v>4.3099999999999996</v>
      </c>
      <c r="K3">
        <v>0</v>
      </c>
      <c r="L3">
        <v>2.8</v>
      </c>
      <c r="M3">
        <v>634436</v>
      </c>
      <c r="N3">
        <v>106130.54</v>
      </c>
      <c r="O3">
        <f t="shared" ref="O3:O66" si="0">IF(C3="East",1,0)</f>
        <v>1</v>
      </c>
      <c r="P3">
        <f t="shared" ref="P3:P66" si="1">IF(C3="North",1,0)</f>
        <v>0</v>
      </c>
      <c r="Q3">
        <f t="shared" ref="Q3:Q66" si="2">IF(C3="South",1,0)</f>
        <v>0</v>
      </c>
      <c r="R3">
        <f t="shared" ref="R3:R66" si="3">IF(D3="Residential",1,0)</f>
        <v>1</v>
      </c>
      <c r="S3">
        <f t="shared" ref="S3:S66" si="4">IF(D3="High Street",1,0)</f>
        <v>0</v>
      </c>
      <c r="T3">
        <f t="shared" ref="T3:T66" si="5">IF(D3="Airport",1,0)</f>
        <v>0</v>
      </c>
    </row>
    <row r="4" spans="1:20">
      <c r="A4" t="s">
        <v>14</v>
      </c>
      <c r="B4" s="2">
        <v>45717</v>
      </c>
      <c r="C4" t="s">
        <v>15</v>
      </c>
      <c r="D4" t="s">
        <v>16</v>
      </c>
      <c r="E4">
        <v>59921.75</v>
      </c>
      <c r="F4">
        <v>9113</v>
      </c>
      <c r="G4">
        <v>0.13300000000000001</v>
      </c>
      <c r="H4">
        <v>20</v>
      </c>
      <c r="I4">
        <v>88</v>
      </c>
      <c r="J4">
        <v>12</v>
      </c>
      <c r="K4">
        <v>0</v>
      </c>
      <c r="L4">
        <v>3.2</v>
      </c>
      <c r="M4">
        <v>678722.06</v>
      </c>
      <c r="N4">
        <v>101883.86</v>
      </c>
      <c r="O4">
        <f t="shared" si="0"/>
        <v>1</v>
      </c>
      <c r="P4">
        <f t="shared" si="1"/>
        <v>0</v>
      </c>
      <c r="Q4">
        <f t="shared" si="2"/>
        <v>0</v>
      </c>
      <c r="R4">
        <f t="shared" si="3"/>
        <v>1</v>
      </c>
      <c r="S4">
        <f t="shared" si="4"/>
        <v>0</v>
      </c>
      <c r="T4">
        <f t="shared" si="5"/>
        <v>0</v>
      </c>
    </row>
    <row r="5" spans="1:20">
      <c r="A5" t="s">
        <v>14</v>
      </c>
      <c r="B5" s="2">
        <v>45748</v>
      </c>
      <c r="C5" t="s">
        <v>15</v>
      </c>
      <c r="D5" t="s">
        <v>16</v>
      </c>
      <c r="E5">
        <v>56856.63</v>
      </c>
      <c r="F5">
        <v>9431</v>
      </c>
      <c r="G5">
        <v>0.14199999999999999</v>
      </c>
      <c r="H5">
        <v>23</v>
      </c>
      <c r="I5">
        <v>86.9</v>
      </c>
      <c r="J5">
        <v>4.97</v>
      </c>
      <c r="K5">
        <v>0</v>
      </c>
      <c r="L5">
        <v>3.4</v>
      </c>
      <c r="M5">
        <v>658920.30000000005</v>
      </c>
      <c r="N5">
        <v>97910.37</v>
      </c>
      <c r="O5">
        <f t="shared" si="0"/>
        <v>1</v>
      </c>
      <c r="P5">
        <f t="shared" si="1"/>
        <v>0</v>
      </c>
      <c r="Q5">
        <f t="shared" si="2"/>
        <v>0</v>
      </c>
      <c r="R5">
        <f t="shared" si="3"/>
        <v>1</v>
      </c>
      <c r="S5">
        <f t="shared" si="4"/>
        <v>0</v>
      </c>
      <c r="T5">
        <f t="shared" si="5"/>
        <v>0</v>
      </c>
    </row>
    <row r="6" spans="1:20">
      <c r="A6" t="s">
        <v>17</v>
      </c>
      <c r="B6" s="2">
        <v>45658</v>
      </c>
      <c r="C6" t="s">
        <v>15</v>
      </c>
      <c r="D6" t="s">
        <v>18</v>
      </c>
      <c r="E6">
        <v>48412.639999999999</v>
      </c>
      <c r="F6">
        <v>9545</v>
      </c>
      <c r="G6">
        <v>0.23100000000000001</v>
      </c>
      <c r="H6">
        <v>21</v>
      </c>
      <c r="I6">
        <v>97.6</v>
      </c>
      <c r="J6">
        <v>6.94</v>
      </c>
      <c r="K6">
        <v>1</v>
      </c>
      <c r="L6">
        <v>4.2</v>
      </c>
      <c r="M6">
        <v>741341.44</v>
      </c>
      <c r="N6">
        <v>119208.17</v>
      </c>
      <c r="O6">
        <f t="shared" si="0"/>
        <v>1</v>
      </c>
      <c r="P6">
        <f t="shared" si="1"/>
        <v>0</v>
      </c>
      <c r="Q6">
        <f t="shared" si="2"/>
        <v>0</v>
      </c>
      <c r="R6">
        <f t="shared" si="3"/>
        <v>0</v>
      </c>
      <c r="S6">
        <f t="shared" si="4"/>
        <v>1</v>
      </c>
      <c r="T6">
        <f t="shared" si="5"/>
        <v>0</v>
      </c>
    </row>
    <row r="7" spans="1:20">
      <c r="A7" t="s">
        <v>17</v>
      </c>
      <c r="B7" s="2">
        <v>45689</v>
      </c>
      <c r="C7" t="s">
        <v>15</v>
      </c>
      <c r="D7" t="s">
        <v>18</v>
      </c>
      <c r="E7">
        <v>64811.21</v>
      </c>
      <c r="F7">
        <v>9792</v>
      </c>
      <c r="G7">
        <v>0.112</v>
      </c>
      <c r="H7">
        <v>20</v>
      </c>
      <c r="I7">
        <v>84.2</v>
      </c>
      <c r="J7">
        <v>2.88</v>
      </c>
      <c r="K7">
        <v>0</v>
      </c>
      <c r="L7">
        <v>4.2</v>
      </c>
      <c r="M7">
        <v>761835.34</v>
      </c>
      <c r="N7">
        <v>149602.23000000001</v>
      </c>
      <c r="O7">
        <f t="shared" si="0"/>
        <v>1</v>
      </c>
      <c r="P7">
        <f t="shared" si="1"/>
        <v>0</v>
      </c>
      <c r="Q7">
        <f t="shared" si="2"/>
        <v>0</v>
      </c>
      <c r="R7">
        <f t="shared" si="3"/>
        <v>0</v>
      </c>
      <c r="S7">
        <f t="shared" si="4"/>
        <v>1</v>
      </c>
      <c r="T7">
        <f t="shared" si="5"/>
        <v>0</v>
      </c>
    </row>
    <row r="8" spans="1:20">
      <c r="A8" t="s">
        <v>17</v>
      </c>
      <c r="B8" s="2">
        <v>45717</v>
      </c>
      <c r="C8" t="s">
        <v>15</v>
      </c>
      <c r="D8" t="s">
        <v>18</v>
      </c>
      <c r="E8">
        <v>46213.45</v>
      </c>
      <c r="F8">
        <v>10616</v>
      </c>
      <c r="G8">
        <v>0.122</v>
      </c>
      <c r="H8">
        <v>22</v>
      </c>
      <c r="I8">
        <v>85.2</v>
      </c>
      <c r="J8">
        <v>0.2</v>
      </c>
      <c r="K8">
        <v>1</v>
      </c>
      <c r="L8">
        <v>4.0999999999999996</v>
      </c>
      <c r="M8">
        <v>806615.54</v>
      </c>
      <c r="N8">
        <v>131364.62</v>
      </c>
      <c r="O8">
        <f t="shared" si="0"/>
        <v>1</v>
      </c>
      <c r="P8">
        <f t="shared" si="1"/>
        <v>0</v>
      </c>
      <c r="Q8">
        <f t="shared" si="2"/>
        <v>0</v>
      </c>
      <c r="R8">
        <f t="shared" si="3"/>
        <v>0</v>
      </c>
      <c r="S8">
        <f t="shared" si="4"/>
        <v>1</v>
      </c>
      <c r="T8">
        <f t="shared" si="5"/>
        <v>0</v>
      </c>
    </row>
    <row r="9" spans="1:20">
      <c r="A9" t="s">
        <v>17</v>
      </c>
      <c r="B9" s="2">
        <v>45748</v>
      </c>
      <c r="C9" t="s">
        <v>15</v>
      </c>
      <c r="D9" t="s">
        <v>18</v>
      </c>
      <c r="E9">
        <v>68148.52</v>
      </c>
      <c r="F9">
        <v>8567</v>
      </c>
      <c r="G9">
        <v>0.127</v>
      </c>
      <c r="H9">
        <v>23</v>
      </c>
      <c r="I9">
        <v>95.6</v>
      </c>
      <c r="J9">
        <v>0.8</v>
      </c>
      <c r="K9">
        <v>0</v>
      </c>
      <c r="L9">
        <v>3.9</v>
      </c>
      <c r="M9">
        <v>850164.26</v>
      </c>
      <c r="N9">
        <v>149262.75</v>
      </c>
      <c r="O9">
        <f t="shared" si="0"/>
        <v>1</v>
      </c>
      <c r="P9">
        <f t="shared" si="1"/>
        <v>0</v>
      </c>
      <c r="Q9">
        <f t="shared" si="2"/>
        <v>0</v>
      </c>
      <c r="R9">
        <f t="shared" si="3"/>
        <v>0</v>
      </c>
      <c r="S9">
        <f t="shared" si="4"/>
        <v>1</v>
      </c>
      <c r="T9">
        <f t="shared" si="5"/>
        <v>0</v>
      </c>
    </row>
    <row r="10" spans="1:20">
      <c r="A10" t="s">
        <v>19</v>
      </c>
      <c r="B10" s="2">
        <v>45658</v>
      </c>
      <c r="C10" t="s">
        <v>20</v>
      </c>
      <c r="D10" t="s">
        <v>21</v>
      </c>
      <c r="E10">
        <v>71838.86</v>
      </c>
      <c r="F10">
        <v>10979</v>
      </c>
      <c r="G10">
        <v>0.215</v>
      </c>
      <c r="H10">
        <v>26</v>
      </c>
      <c r="I10">
        <v>88.6</v>
      </c>
      <c r="J10">
        <v>7.7</v>
      </c>
      <c r="K10">
        <v>1</v>
      </c>
      <c r="L10">
        <v>3.8</v>
      </c>
      <c r="M10">
        <v>930581.7</v>
      </c>
      <c r="N10">
        <v>136207.98000000001</v>
      </c>
      <c r="O10">
        <f t="shared" si="0"/>
        <v>0</v>
      </c>
      <c r="P10">
        <f t="shared" si="1"/>
        <v>1</v>
      </c>
      <c r="Q10">
        <f t="shared" si="2"/>
        <v>0</v>
      </c>
      <c r="R10">
        <f t="shared" si="3"/>
        <v>0</v>
      </c>
      <c r="S10">
        <f t="shared" si="4"/>
        <v>0</v>
      </c>
      <c r="T10">
        <f t="shared" si="5"/>
        <v>1</v>
      </c>
    </row>
    <row r="11" spans="1:20">
      <c r="A11" t="s">
        <v>19</v>
      </c>
      <c r="B11" s="2">
        <v>45689</v>
      </c>
      <c r="C11" t="s">
        <v>20</v>
      </c>
      <c r="D11" t="s">
        <v>21</v>
      </c>
      <c r="E11">
        <v>68133.440000000002</v>
      </c>
      <c r="F11">
        <v>9459</v>
      </c>
      <c r="G11">
        <v>0.22</v>
      </c>
      <c r="H11">
        <v>21</v>
      </c>
      <c r="I11">
        <v>85</v>
      </c>
      <c r="J11">
        <v>1.91</v>
      </c>
      <c r="K11">
        <v>0</v>
      </c>
      <c r="L11">
        <v>4.2</v>
      </c>
      <c r="M11">
        <v>779010.94</v>
      </c>
      <c r="N11">
        <v>106328.09</v>
      </c>
      <c r="O11">
        <f t="shared" si="0"/>
        <v>0</v>
      </c>
      <c r="P11">
        <f t="shared" si="1"/>
        <v>1</v>
      </c>
      <c r="Q11">
        <f t="shared" si="2"/>
        <v>0</v>
      </c>
      <c r="R11">
        <f t="shared" si="3"/>
        <v>0</v>
      </c>
      <c r="S11">
        <f t="shared" si="4"/>
        <v>0</v>
      </c>
      <c r="T11">
        <f t="shared" si="5"/>
        <v>1</v>
      </c>
    </row>
    <row r="12" spans="1:20">
      <c r="A12" t="s">
        <v>19</v>
      </c>
      <c r="B12" s="2">
        <v>45717</v>
      </c>
      <c r="C12" t="s">
        <v>20</v>
      </c>
      <c r="D12" t="s">
        <v>21</v>
      </c>
      <c r="E12">
        <v>34285.21</v>
      </c>
      <c r="F12">
        <v>9172</v>
      </c>
      <c r="G12">
        <v>0.21299999999999999</v>
      </c>
      <c r="H12">
        <v>22</v>
      </c>
      <c r="I12">
        <v>88.3</v>
      </c>
      <c r="J12">
        <v>10.46</v>
      </c>
      <c r="K12">
        <v>1</v>
      </c>
      <c r="L12">
        <v>3.8</v>
      </c>
      <c r="M12">
        <v>723060.76</v>
      </c>
      <c r="N12">
        <v>123131.24</v>
      </c>
      <c r="O12">
        <f t="shared" si="0"/>
        <v>0</v>
      </c>
      <c r="P12">
        <f t="shared" si="1"/>
        <v>1</v>
      </c>
      <c r="Q12">
        <f t="shared" si="2"/>
        <v>0</v>
      </c>
      <c r="R12">
        <f t="shared" si="3"/>
        <v>0</v>
      </c>
      <c r="S12">
        <f t="shared" si="4"/>
        <v>0</v>
      </c>
      <c r="T12">
        <f t="shared" si="5"/>
        <v>1</v>
      </c>
    </row>
    <row r="13" spans="1:20">
      <c r="A13" t="s">
        <v>19</v>
      </c>
      <c r="B13" s="2">
        <v>45748</v>
      </c>
      <c r="C13" t="s">
        <v>20</v>
      </c>
      <c r="D13" t="s">
        <v>21</v>
      </c>
      <c r="E13">
        <v>67979.88</v>
      </c>
      <c r="F13">
        <v>11230</v>
      </c>
      <c r="G13">
        <v>2E-3</v>
      </c>
      <c r="H13">
        <v>28</v>
      </c>
      <c r="I13">
        <v>85.3</v>
      </c>
      <c r="J13">
        <v>7.16</v>
      </c>
      <c r="K13">
        <v>0</v>
      </c>
      <c r="L13">
        <v>3.8</v>
      </c>
      <c r="M13">
        <v>910791.94</v>
      </c>
      <c r="N13">
        <v>158891.28</v>
      </c>
      <c r="O13">
        <f t="shared" si="0"/>
        <v>0</v>
      </c>
      <c r="P13">
        <f t="shared" si="1"/>
        <v>1</v>
      </c>
      <c r="Q13">
        <f t="shared" si="2"/>
        <v>0</v>
      </c>
      <c r="R13">
        <f t="shared" si="3"/>
        <v>0</v>
      </c>
      <c r="S13">
        <f t="shared" si="4"/>
        <v>0</v>
      </c>
      <c r="T13">
        <f t="shared" si="5"/>
        <v>1</v>
      </c>
    </row>
    <row r="14" spans="1:20">
      <c r="A14" t="s">
        <v>22</v>
      </c>
      <c r="B14" s="2">
        <v>45658</v>
      </c>
      <c r="C14" t="s">
        <v>15</v>
      </c>
      <c r="D14" t="s">
        <v>16</v>
      </c>
      <c r="E14">
        <v>71828.259999999995</v>
      </c>
      <c r="F14">
        <v>12775</v>
      </c>
      <c r="G14">
        <v>0.11600000000000001</v>
      </c>
      <c r="H14">
        <v>30</v>
      </c>
      <c r="I14">
        <v>81.7</v>
      </c>
      <c r="J14">
        <v>4.24</v>
      </c>
      <c r="K14">
        <v>1</v>
      </c>
      <c r="L14">
        <v>4.2</v>
      </c>
      <c r="M14">
        <v>922168.6</v>
      </c>
      <c r="N14">
        <v>107494.53</v>
      </c>
      <c r="O14">
        <f t="shared" si="0"/>
        <v>1</v>
      </c>
      <c r="P14">
        <f t="shared" si="1"/>
        <v>0</v>
      </c>
      <c r="Q14">
        <f t="shared" si="2"/>
        <v>0</v>
      </c>
      <c r="R14">
        <f t="shared" si="3"/>
        <v>1</v>
      </c>
      <c r="S14">
        <f t="shared" si="4"/>
        <v>0</v>
      </c>
      <c r="T14">
        <f t="shared" si="5"/>
        <v>0</v>
      </c>
    </row>
    <row r="15" spans="1:20">
      <c r="A15" t="s">
        <v>22</v>
      </c>
      <c r="B15" s="2">
        <v>45689</v>
      </c>
      <c r="C15" t="s">
        <v>15</v>
      </c>
      <c r="D15" t="s">
        <v>16</v>
      </c>
      <c r="E15">
        <v>55716.82</v>
      </c>
      <c r="F15">
        <v>10054</v>
      </c>
      <c r="G15">
        <v>0.14599999999999999</v>
      </c>
      <c r="H15">
        <v>24</v>
      </c>
      <c r="I15">
        <v>84.9</v>
      </c>
      <c r="J15">
        <v>1.06</v>
      </c>
      <c r="K15">
        <v>0</v>
      </c>
      <c r="L15">
        <v>4.3</v>
      </c>
      <c r="M15">
        <v>726606.28</v>
      </c>
      <c r="N15">
        <v>122729.29</v>
      </c>
      <c r="O15">
        <f t="shared" si="0"/>
        <v>1</v>
      </c>
      <c r="P15">
        <f t="shared" si="1"/>
        <v>0</v>
      </c>
      <c r="Q15">
        <f t="shared" si="2"/>
        <v>0</v>
      </c>
      <c r="R15">
        <f t="shared" si="3"/>
        <v>1</v>
      </c>
      <c r="S15">
        <f t="shared" si="4"/>
        <v>0</v>
      </c>
      <c r="T15">
        <f t="shared" si="5"/>
        <v>0</v>
      </c>
    </row>
    <row r="16" spans="1:20">
      <c r="A16" t="s">
        <v>22</v>
      </c>
      <c r="B16" s="2">
        <v>45717</v>
      </c>
      <c r="C16" t="s">
        <v>15</v>
      </c>
      <c r="D16" t="s">
        <v>16</v>
      </c>
      <c r="E16">
        <v>59909.51</v>
      </c>
      <c r="F16">
        <v>8895</v>
      </c>
      <c r="G16">
        <v>0.22800000000000001</v>
      </c>
      <c r="H16">
        <v>23</v>
      </c>
      <c r="I16">
        <v>88.8</v>
      </c>
      <c r="J16">
        <v>0.27</v>
      </c>
      <c r="K16">
        <v>0</v>
      </c>
      <c r="L16">
        <v>4.3</v>
      </c>
      <c r="M16">
        <v>746501.09</v>
      </c>
      <c r="N16">
        <v>136816.72</v>
      </c>
      <c r="O16">
        <f t="shared" si="0"/>
        <v>1</v>
      </c>
      <c r="P16">
        <f t="shared" si="1"/>
        <v>0</v>
      </c>
      <c r="Q16">
        <f t="shared" si="2"/>
        <v>0</v>
      </c>
      <c r="R16">
        <f t="shared" si="3"/>
        <v>1</v>
      </c>
      <c r="S16">
        <f t="shared" si="4"/>
        <v>0</v>
      </c>
      <c r="T16">
        <f t="shared" si="5"/>
        <v>0</v>
      </c>
    </row>
    <row r="17" spans="1:20">
      <c r="A17" t="s">
        <v>22</v>
      </c>
      <c r="B17" s="2">
        <v>45748</v>
      </c>
      <c r="C17" t="s">
        <v>15</v>
      </c>
      <c r="D17" t="s">
        <v>16</v>
      </c>
      <c r="E17">
        <v>75305.710000000006</v>
      </c>
      <c r="F17">
        <v>10940</v>
      </c>
      <c r="G17">
        <v>6.0000000000000001E-3</v>
      </c>
      <c r="H17">
        <v>26</v>
      </c>
      <c r="I17">
        <v>76.5</v>
      </c>
      <c r="J17">
        <v>1.32</v>
      </c>
      <c r="K17">
        <v>0</v>
      </c>
      <c r="L17">
        <v>4.5</v>
      </c>
      <c r="M17">
        <v>834017.02</v>
      </c>
      <c r="N17">
        <v>114745.03</v>
      </c>
      <c r="O17">
        <f t="shared" si="0"/>
        <v>1</v>
      </c>
      <c r="P17">
        <f t="shared" si="1"/>
        <v>0</v>
      </c>
      <c r="Q17">
        <f t="shared" si="2"/>
        <v>0</v>
      </c>
      <c r="R17">
        <f t="shared" si="3"/>
        <v>1</v>
      </c>
      <c r="S17">
        <f t="shared" si="4"/>
        <v>0</v>
      </c>
      <c r="T17">
        <f t="shared" si="5"/>
        <v>0</v>
      </c>
    </row>
    <row r="18" spans="1:20">
      <c r="A18" t="s">
        <v>23</v>
      </c>
      <c r="B18" s="2">
        <v>45658</v>
      </c>
      <c r="C18" t="s">
        <v>24</v>
      </c>
      <c r="D18" t="s">
        <v>16</v>
      </c>
      <c r="E18">
        <v>48804.22</v>
      </c>
      <c r="F18">
        <v>7057</v>
      </c>
      <c r="G18">
        <v>5.0000000000000001E-3</v>
      </c>
      <c r="H18">
        <v>15</v>
      </c>
      <c r="I18">
        <v>87.7</v>
      </c>
      <c r="J18">
        <v>1.22</v>
      </c>
      <c r="K18">
        <v>0</v>
      </c>
      <c r="L18">
        <v>3.7</v>
      </c>
      <c r="M18">
        <v>666152.52</v>
      </c>
      <c r="N18">
        <v>107490.58</v>
      </c>
      <c r="O18">
        <f t="shared" si="0"/>
        <v>0</v>
      </c>
      <c r="P18">
        <f t="shared" si="1"/>
        <v>0</v>
      </c>
      <c r="Q18">
        <f t="shared" si="2"/>
        <v>1</v>
      </c>
      <c r="R18">
        <f t="shared" si="3"/>
        <v>1</v>
      </c>
      <c r="S18">
        <f t="shared" si="4"/>
        <v>0</v>
      </c>
      <c r="T18">
        <f t="shared" si="5"/>
        <v>0</v>
      </c>
    </row>
    <row r="19" spans="1:20">
      <c r="A19" t="s">
        <v>23</v>
      </c>
      <c r="B19" s="2">
        <v>45689</v>
      </c>
      <c r="C19" t="s">
        <v>24</v>
      </c>
      <c r="D19" t="s">
        <v>16</v>
      </c>
      <c r="E19">
        <v>59117.9</v>
      </c>
      <c r="F19">
        <v>4263</v>
      </c>
      <c r="G19">
        <v>0.11899999999999999</v>
      </c>
      <c r="H19">
        <v>9</v>
      </c>
      <c r="I19">
        <v>87.6</v>
      </c>
      <c r="J19">
        <v>4.01</v>
      </c>
      <c r="K19">
        <v>0</v>
      </c>
      <c r="L19">
        <v>3.6</v>
      </c>
      <c r="M19">
        <v>573155.18999999994</v>
      </c>
      <c r="N19">
        <v>83680.75</v>
      </c>
      <c r="O19">
        <f t="shared" si="0"/>
        <v>0</v>
      </c>
      <c r="P19">
        <f t="shared" si="1"/>
        <v>0</v>
      </c>
      <c r="Q19">
        <f t="shared" si="2"/>
        <v>1</v>
      </c>
      <c r="R19">
        <f t="shared" si="3"/>
        <v>1</v>
      </c>
      <c r="S19">
        <f t="shared" si="4"/>
        <v>0</v>
      </c>
      <c r="T19">
        <f t="shared" si="5"/>
        <v>0</v>
      </c>
    </row>
    <row r="20" spans="1:20">
      <c r="A20" t="s">
        <v>23</v>
      </c>
      <c r="B20" s="2">
        <v>45717</v>
      </c>
      <c r="C20" t="s">
        <v>24</v>
      </c>
      <c r="D20" t="s">
        <v>16</v>
      </c>
      <c r="E20">
        <v>78831.12</v>
      </c>
      <c r="F20">
        <v>5538</v>
      </c>
      <c r="G20">
        <v>0</v>
      </c>
      <c r="H20">
        <v>15</v>
      </c>
      <c r="I20">
        <v>94.1</v>
      </c>
      <c r="J20">
        <v>0.2</v>
      </c>
      <c r="K20">
        <v>0</v>
      </c>
      <c r="L20">
        <v>3.9</v>
      </c>
      <c r="M20">
        <v>666573.19999999995</v>
      </c>
      <c r="N20">
        <v>140641.01999999999</v>
      </c>
      <c r="O20">
        <f t="shared" si="0"/>
        <v>0</v>
      </c>
      <c r="P20">
        <f t="shared" si="1"/>
        <v>0</v>
      </c>
      <c r="Q20">
        <f t="shared" si="2"/>
        <v>1</v>
      </c>
      <c r="R20">
        <f t="shared" si="3"/>
        <v>1</v>
      </c>
      <c r="S20">
        <f t="shared" si="4"/>
        <v>0</v>
      </c>
      <c r="T20">
        <f t="shared" si="5"/>
        <v>0</v>
      </c>
    </row>
    <row r="21" spans="1:20">
      <c r="A21" t="s">
        <v>23</v>
      </c>
      <c r="B21" s="2">
        <v>45748</v>
      </c>
      <c r="C21" t="s">
        <v>24</v>
      </c>
      <c r="D21" t="s">
        <v>16</v>
      </c>
      <c r="E21">
        <v>41441.93</v>
      </c>
      <c r="F21">
        <v>4865</v>
      </c>
      <c r="G21">
        <v>0.158</v>
      </c>
      <c r="H21">
        <v>16</v>
      </c>
      <c r="I21">
        <v>88.3</v>
      </c>
      <c r="J21">
        <v>0.5</v>
      </c>
      <c r="K21">
        <v>0</v>
      </c>
      <c r="L21">
        <v>4</v>
      </c>
      <c r="M21">
        <v>591619.94999999995</v>
      </c>
      <c r="N21">
        <v>99521.35</v>
      </c>
      <c r="O21">
        <f t="shared" si="0"/>
        <v>0</v>
      </c>
      <c r="P21">
        <f t="shared" si="1"/>
        <v>0</v>
      </c>
      <c r="Q21">
        <f t="shared" si="2"/>
        <v>1</v>
      </c>
      <c r="R21">
        <f t="shared" si="3"/>
        <v>1</v>
      </c>
      <c r="S21">
        <f t="shared" si="4"/>
        <v>0</v>
      </c>
      <c r="T21">
        <f t="shared" si="5"/>
        <v>0</v>
      </c>
    </row>
    <row r="22" spans="1:20">
      <c r="A22" t="s">
        <v>25</v>
      </c>
      <c r="B22" s="2">
        <v>45658</v>
      </c>
      <c r="C22" t="s">
        <v>20</v>
      </c>
      <c r="D22" t="s">
        <v>16</v>
      </c>
      <c r="E22">
        <v>30356.28</v>
      </c>
      <c r="F22">
        <v>2822</v>
      </c>
      <c r="G22">
        <v>0.23100000000000001</v>
      </c>
      <c r="H22">
        <v>9</v>
      </c>
      <c r="I22">
        <v>84.8</v>
      </c>
      <c r="J22">
        <v>6.95</v>
      </c>
      <c r="K22">
        <v>0</v>
      </c>
      <c r="L22">
        <v>5</v>
      </c>
      <c r="M22">
        <v>415721.82</v>
      </c>
      <c r="N22">
        <v>61179.15</v>
      </c>
      <c r="O22">
        <f t="shared" si="0"/>
        <v>0</v>
      </c>
      <c r="P22">
        <f t="shared" si="1"/>
        <v>1</v>
      </c>
      <c r="Q22">
        <f t="shared" si="2"/>
        <v>0</v>
      </c>
      <c r="R22">
        <f t="shared" si="3"/>
        <v>1</v>
      </c>
      <c r="S22">
        <f t="shared" si="4"/>
        <v>0</v>
      </c>
      <c r="T22">
        <f t="shared" si="5"/>
        <v>0</v>
      </c>
    </row>
    <row r="23" spans="1:20">
      <c r="A23" t="s">
        <v>25</v>
      </c>
      <c r="B23" s="2">
        <v>45689</v>
      </c>
      <c r="C23" t="s">
        <v>20</v>
      </c>
      <c r="D23" t="s">
        <v>16</v>
      </c>
      <c r="E23">
        <v>33518.879999999997</v>
      </c>
      <c r="F23">
        <v>2121</v>
      </c>
      <c r="G23">
        <v>0.17599999999999999</v>
      </c>
      <c r="H23">
        <v>8</v>
      </c>
      <c r="I23">
        <v>88.5</v>
      </c>
      <c r="J23">
        <v>0.2</v>
      </c>
      <c r="K23">
        <v>0</v>
      </c>
      <c r="L23">
        <v>5</v>
      </c>
      <c r="M23">
        <v>491905.13</v>
      </c>
      <c r="N23">
        <v>79212.259999999995</v>
      </c>
      <c r="O23">
        <f t="shared" si="0"/>
        <v>0</v>
      </c>
      <c r="P23">
        <f t="shared" si="1"/>
        <v>1</v>
      </c>
      <c r="Q23">
        <f t="shared" si="2"/>
        <v>0</v>
      </c>
      <c r="R23">
        <f t="shared" si="3"/>
        <v>1</v>
      </c>
      <c r="S23">
        <f t="shared" si="4"/>
        <v>0</v>
      </c>
      <c r="T23">
        <f t="shared" si="5"/>
        <v>0</v>
      </c>
    </row>
    <row r="24" spans="1:20">
      <c r="A24" t="s">
        <v>25</v>
      </c>
      <c r="B24" s="2">
        <v>45717</v>
      </c>
      <c r="C24" t="s">
        <v>20</v>
      </c>
      <c r="D24" t="s">
        <v>16</v>
      </c>
      <c r="E24">
        <v>42267.37</v>
      </c>
      <c r="F24">
        <v>3364</v>
      </c>
      <c r="G24">
        <v>0.16</v>
      </c>
      <c r="H24">
        <v>13</v>
      </c>
      <c r="I24">
        <v>82</v>
      </c>
      <c r="J24">
        <v>1.61</v>
      </c>
      <c r="K24">
        <v>1</v>
      </c>
      <c r="L24">
        <v>4.5999999999999996</v>
      </c>
      <c r="M24">
        <v>555929.4</v>
      </c>
      <c r="N24">
        <v>115201.76</v>
      </c>
      <c r="O24">
        <f t="shared" si="0"/>
        <v>0</v>
      </c>
      <c r="P24">
        <f t="shared" si="1"/>
        <v>1</v>
      </c>
      <c r="Q24">
        <f t="shared" si="2"/>
        <v>0</v>
      </c>
      <c r="R24">
        <f t="shared" si="3"/>
        <v>1</v>
      </c>
      <c r="S24">
        <f t="shared" si="4"/>
        <v>0</v>
      </c>
      <c r="T24">
        <f t="shared" si="5"/>
        <v>0</v>
      </c>
    </row>
    <row r="25" spans="1:20">
      <c r="A25" t="s">
        <v>25</v>
      </c>
      <c r="B25" s="2">
        <v>45748</v>
      </c>
      <c r="C25" t="s">
        <v>20</v>
      </c>
      <c r="D25" t="s">
        <v>16</v>
      </c>
      <c r="E25">
        <v>62060.43</v>
      </c>
      <c r="F25">
        <v>2613</v>
      </c>
      <c r="G25">
        <v>0.216</v>
      </c>
      <c r="H25">
        <v>12</v>
      </c>
      <c r="I25">
        <v>92.1</v>
      </c>
      <c r="J25">
        <v>1.55</v>
      </c>
      <c r="K25">
        <v>0</v>
      </c>
      <c r="L25">
        <v>4.7</v>
      </c>
      <c r="M25">
        <v>565810.99</v>
      </c>
      <c r="N25">
        <v>77825.460000000006</v>
      </c>
      <c r="O25">
        <f t="shared" si="0"/>
        <v>0</v>
      </c>
      <c r="P25">
        <f t="shared" si="1"/>
        <v>1</v>
      </c>
      <c r="Q25">
        <f t="shared" si="2"/>
        <v>0</v>
      </c>
      <c r="R25">
        <f t="shared" si="3"/>
        <v>1</v>
      </c>
      <c r="S25">
        <f t="shared" si="4"/>
        <v>0</v>
      </c>
      <c r="T25">
        <f t="shared" si="5"/>
        <v>0</v>
      </c>
    </row>
    <row r="26" spans="1:20">
      <c r="A26" t="s">
        <v>26</v>
      </c>
      <c r="B26" s="2">
        <v>45658</v>
      </c>
      <c r="C26" t="s">
        <v>27</v>
      </c>
      <c r="D26" t="s">
        <v>28</v>
      </c>
      <c r="E26">
        <v>57696.69</v>
      </c>
      <c r="F26">
        <v>10218</v>
      </c>
      <c r="G26">
        <v>0.121</v>
      </c>
      <c r="H26">
        <v>25</v>
      </c>
      <c r="I26">
        <v>94.8</v>
      </c>
      <c r="J26">
        <v>2.99</v>
      </c>
      <c r="K26">
        <v>0</v>
      </c>
      <c r="L26">
        <v>3.5</v>
      </c>
      <c r="M26">
        <v>811771.14</v>
      </c>
      <c r="N26">
        <v>148756.24</v>
      </c>
      <c r="O26">
        <f t="shared" si="0"/>
        <v>0</v>
      </c>
      <c r="P26">
        <f t="shared" si="1"/>
        <v>0</v>
      </c>
      <c r="Q26">
        <f t="shared" si="2"/>
        <v>0</v>
      </c>
      <c r="R26">
        <f t="shared" si="3"/>
        <v>0</v>
      </c>
      <c r="S26">
        <f t="shared" si="4"/>
        <v>0</v>
      </c>
      <c r="T26">
        <f t="shared" si="5"/>
        <v>0</v>
      </c>
    </row>
    <row r="27" spans="1:20">
      <c r="A27" t="s">
        <v>26</v>
      </c>
      <c r="B27" s="2">
        <v>45689</v>
      </c>
      <c r="C27" t="s">
        <v>27</v>
      </c>
      <c r="D27" t="s">
        <v>28</v>
      </c>
      <c r="E27">
        <v>172415.52</v>
      </c>
      <c r="F27">
        <v>8927</v>
      </c>
      <c r="G27">
        <v>0.14000000000000001</v>
      </c>
      <c r="H27">
        <v>22</v>
      </c>
      <c r="I27">
        <v>86.2</v>
      </c>
      <c r="J27">
        <v>7.04</v>
      </c>
      <c r="K27">
        <v>0</v>
      </c>
      <c r="L27">
        <v>3.9</v>
      </c>
      <c r="M27">
        <v>800451.94</v>
      </c>
      <c r="N27">
        <v>111572.29</v>
      </c>
      <c r="O27">
        <f t="shared" si="0"/>
        <v>0</v>
      </c>
      <c r="P27">
        <f t="shared" si="1"/>
        <v>0</v>
      </c>
      <c r="Q27">
        <f t="shared" si="2"/>
        <v>0</v>
      </c>
      <c r="R27">
        <f t="shared" si="3"/>
        <v>0</v>
      </c>
      <c r="S27">
        <f t="shared" si="4"/>
        <v>0</v>
      </c>
      <c r="T27">
        <f t="shared" si="5"/>
        <v>0</v>
      </c>
    </row>
    <row r="28" spans="1:20">
      <c r="A28" t="s">
        <v>26</v>
      </c>
      <c r="B28" s="2">
        <v>45717</v>
      </c>
      <c r="C28" t="s">
        <v>27</v>
      </c>
      <c r="D28" t="s">
        <v>28</v>
      </c>
      <c r="E28">
        <v>55270.52</v>
      </c>
      <c r="F28">
        <v>9315</v>
      </c>
      <c r="G28">
        <v>0.16900000000000001</v>
      </c>
      <c r="H28">
        <v>23</v>
      </c>
      <c r="I28">
        <v>91.9</v>
      </c>
      <c r="J28">
        <v>4.9400000000000004</v>
      </c>
      <c r="K28">
        <v>0</v>
      </c>
      <c r="L28">
        <v>4</v>
      </c>
      <c r="M28">
        <v>783672.82</v>
      </c>
      <c r="N28">
        <v>112577.14</v>
      </c>
      <c r="O28">
        <f t="shared" si="0"/>
        <v>0</v>
      </c>
      <c r="P28">
        <f t="shared" si="1"/>
        <v>0</v>
      </c>
      <c r="Q28">
        <f t="shared" si="2"/>
        <v>0</v>
      </c>
      <c r="R28">
        <f t="shared" si="3"/>
        <v>0</v>
      </c>
      <c r="S28">
        <f t="shared" si="4"/>
        <v>0</v>
      </c>
      <c r="T28">
        <f t="shared" si="5"/>
        <v>0</v>
      </c>
    </row>
    <row r="29" spans="1:20">
      <c r="A29" t="s">
        <v>26</v>
      </c>
      <c r="B29" s="2">
        <v>45748</v>
      </c>
      <c r="C29" t="s">
        <v>27</v>
      </c>
      <c r="D29" t="s">
        <v>28</v>
      </c>
      <c r="E29">
        <v>52715.1</v>
      </c>
      <c r="F29">
        <v>7223</v>
      </c>
      <c r="G29">
        <v>0.122</v>
      </c>
      <c r="H29">
        <v>16</v>
      </c>
      <c r="I29">
        <v>84.2</v>
      </c>
      <c r="J29">
        <v>16.149999999999999</v>
      </c>
      <c r="K29">
        <v>0</v>
      </c>
      <c r="L29">
        <v>3.7</v>
      </c>
      <c r="M29">
        <v>701641.97</v>
      </c>
      <c r="N29">
        <v>106111.86</v>
      </c>
      <c r="O29">
        <f t="shared" si="0"/>
        <v>0</v>
      </c>
      <c r="P29">
        <f t="shared" si="1"/>
        <v>0</v>
      </c>
      <c r="Q29">
        <f t="shared" si="2"/>
        <v>0</v>
      </c>
      <c r="R29">
        <f t="shared" si="3"/>
        <v>0</v>
      </c>
      <c r="S29">
        <f t="shared" si="4"/>
        <v>0</v>
      </c>
      <c r="T29">
        <f t="shared" si="5"/>
        <v>0</v>
      </c>
    </row>
    <row r="30" spans="1:20">
      <c r="A30" t="s">
        <v>29</v>
      </c>
      <c r="B30" s="2">
        <v>45658</v>
      </c>
      <c r="C30" t="s">
        <v>15</v>
      </c>
      <c r="D30" t="s">
        <v>16</v>
      </c>
      <c r="E30">
        <v>68600.62</v>
      </c>
      <c r="F30">
        <v>3988</v>
      </c>
      <c r="G30">
        <v>0.124</v>
      </c>
      <c r="H30">
        <v>11</v>
      </c>
      <c r="I30">
        <v>85</v>
      </c>
      <c r="J30">
        <v>0.48</v>
      </c>
      <c r="K30">
        <v>0</v>
      </c>
      <c r="L30">
        <v>3.6</v>
      </c>
      <c r="M30">
        <v>511844.41</v>
      </c>
      <c r="N30">
        <v>72774.44</v>
      </c>
      <c r="O30">
        <f t="shared" si="0"/>
        <v>1</v>
      </c>
      <c r="P30">
        <f t="shared" si="1"/>
        <v>0</v>
      </c>
      <c r="Q30">
        <f t="shared" si="2"/>
        <v>0</v>
      </c>
      <c r="R30">
        <f t="shared" si="3"/>
        <v>1</v>
      </c>
      <c r="S30">
        <f t="shared" si="4"/>
        <v>0</v>
      </c>
      <c r="T30">
        <f t="shared" si="5"/>
        <v>0</v>
      </c>
    </row>
    <row r="31" spans="1:20">
      <c r="A31" t="s">
        <v>29</v>
      </c>
      <c r="B31" s="2">
        <v>45689</v>
      </c>
      <c r="C31" t="s">
        <v>15</v>
      </c>
      <c r="D31" t="s">
        <v>16</v>
      </c>
      <c r="E31">
        <v>63176.73</v>
      </c>
      <c r="F31">
        <v>2390</v>
      </c>
      <c r="G31">
        <v>0.216</v>
      </c>
      <c r="H31">
        <v>9</v>
      </c>
      <c r="I31">
        <v>87.5</v>
      </c>
      <c r="J31">
        <v>0.31</v>
      </c>
      <c r="K31">
        <v>0</v>
      </c>
      <c r="L31">
        <v>3.1</v>
      </c>
      <c r="M31">
        <v>537383.79</v>
      </c>
      <c r="N31">
        <v>63773.27</v>
      </c>
      <c r="O31">
        <f t="shared" si="0"/>
        <v>1</v>
      </c>
      <c r="P31">
        <f t="shared" si="1"/>
        <v>0</v>
      </c>
      <c r="Q31">
        <f t="shared" si="2"/>
        <v>0</v>
      </c>
      <c r="R31">
        <f t="shared" si="3"/>
        <v>1</v>
      </c>
      <c r="S31">
        <f t="shared" si="4"/>
        <v>0</v>
      </c>
      <c r="T31">
        <f t="shared" si="5"/>
        <v>0</v>
      </c>
    </row>
    <row r="32" spans="1:20">
      <c r="A32" t="s">
        <v>29</v>
      </c>
      <c r="B32" s="2">
        <v>45717</v>
      </c>
      <c r="C32" t="s">
        <v>15</v>
      </c>
      <c r="D32" t="s">
        <v>16</v>
      </c>
      <c r="E32">
        <v>44970.080000000002</v>
      </c>
      <c r="F32">
        <v>2471</v>
      </c>
      <c r="G32">
        <v>0.13600000000000001</v>
      </c>
      <c r="H32">
        <v>11</v>
      </c>
      <c r="I32">
        <v>87.6</v>
      </c>
      <c r="J32">
        <v>3.01</v>
      </c>
      <c r="K32">
        <v>1</v>
      </c>
      <c r="L32">
        <v>3.7</v>
      </c>
      <c r="M32">
        <v>500173.02</v>
      </c>
      <c r="N32">
        <v>70982.05</v>
      </c>
      <c r="O32">
        <f t="shared" si="0"/>
        <v>1</v>
      </c>
      <c r="P32">
        <f t="shared" si="1"/>
        <v>0</v>
      </c>
      <c r="Q32">
        <f t="shared" si="2"/>
        <v>0</v>
      </c>
      <c r="R32">
        <f t="shared" si="3"/>
        <v>1</v>
      </c>
      <c r="S32">
        <f t="shared" si="4"/>
        <v>0</v>
      </c>
      <c r="T32">
        <f t="shared" si="5"/>
        <v>0</v>
      </c>
    </row>
    <row r="33" spans="1:20">
      <c r="A33" t="s">
        <v>29</v>
      </c>
      <c r="B33" s="2">
        <v>45748</v>
      </c>
      <c r="C33" t="s">
        <v>15</v>
      </c>
      <c r="D33" t="s">
        <v>16</v>
      </c>
      <c r="E33">
        <v>69816.350000000006</v>
      </c>
      <c r="F33">
        <v>971</v>
      </c>
      <c r="G33">
        <v>0.16800000000000001</v>
      </c>
      <c r="H33">
        <v>5</v>
      </c>
      <c r="I33">
        <v>89.9</v>
      </c>
      <c r="J33">
        <v>12.15</v>
      </c>
      <c r="K33">
        <v>0</v>
      </c>
      <c r="L33">
        <v>3.6</v>
      </c>
      <c r="M33">
        <v>427917.38</v>
      </c>
      <c r="N33">
        <v>81824.31</v>
      </c>
      <c r="O33">
        <f t="shared" si="0"/>
        <v>1</v>
      </c>
      <c r="P33">
        <f t="shared" si="1"/>
        <v>0</v>
      </c>
      <c r="Q33">
        <f t="shared" si="2"/>
        <v>0</v>
      </c>
      <c r="R33">
        <f t="shared" si="3"/>
        <v>1</v>
      </c>
      <c r="S33">
        <f t="shared" si="4"/>
        <v>0</v>
      </c>
      <c r="T33">
        <f t="shared" si="5"/>
        <v>0</v>
      </c>
    </row>
    <row r="34" spans="1:20">
      <c r="A34" t="s">
        <v>30</v>
      </c>
      <c r="B34" s="2">
        <v>45658</v>
      </c>
      <c r="C34" t="s">
        <v>20</v>
      </c>
      <c r="D34" t="s">
        <v>16</v>
      </c>
      <c r="E34">
        <v>54597.83</v>
      </c>
      <c r="F34">
        <v>9429</v>
      </c>
      <c r="G34">
        <v>0.188</v>
      </c>
      <c r="H34">
        <v>21</v>
      </c>
      <c r="I34">
        <v>83.3</v>
      </c>
      <c r="J34">
        <v>11.71</v>
      </c>
      <c r="K34">
        <v>0</v>
      </c>
      <c r="L34">
        <v>4.2</v>
      </c>
      <c r="M34">
        <v>641865.03</v>
      </c>
      <c r="N34">
        <v>81342.58</v>
      </c>
      <c r="O34">
        <f t="shared" si="0"/>
        <v>0</v>
      </c>
      <c r="P34">
        <f t="shared" si="1"/>
        <v>1</v>
      </c>
      <c r="Q34">
        <f t="shared" si="2"/>
        <v>0</v>
      </c>
      <c r="R34">
        <f t="shared" si="3"/>
        <v>1</v>
      </c>
      <c r="S34">
        <f t="shared" si="4"/>
        <v>0</v>
      </c>
      <c r="T34">
        <f t="shared" si="5"/>
        <v>0</v>
      </c>
    </row>
    <row r="35" spans="1:20">
      <c r="A35" t="s">
        <v>30</v>
      </c>
      <c r="B35" s="2">
        <v>45689</v>
      </c>
      <c r="C35" t="s">
        <v>20</v>
      </c>
      <c r="D35" t="s">
        <v>16</v>
      </c>
      <c r="E35">
        <v>73771.91</v>
      </c>
      <c r="F35">
        <v>11695</v>
      </c>
      <c r="G35">
        <v>7.0000000000000007E-2</v>
      </c>
      <c r="H35">
        <v>25</v>
      </c>
      <c r="I35">
        <v>84.7</v>
      </c>
      <c r="J35">
        <v>0.62</v>
      </c>
      <c r="K35">
        <v>0</v>
      </c>
      <c r="L35">
        <f>3.924</f>
        <v>3.9239999999999999</v>
      </c>
      <c r="M35">
        <v>799477.76000000001</v>
      </c>
      <c r="N35">
        <v>164974.41</v>
      </c>
      <c r="O35">
        <f t="shared" si="0"/>
        <v>0</v>
      </c>
      <c r="P35">
        <f t="shared" si="1"/>
        <v>1</v>
      </c>
      <c r="Q35">
        <f t="shared" si="2"/>
        <v>0</v>
      </c>
      <c r="R35">
        <f t="shared" si="3"/>
        <v>1</v>
      </c>
      <c r="S35">
        <f t="shared" si="4"/>
        <v>0</v>
      </c>
      <c r="T35">
        <f t="shared" si="5"/>
        <v>0</v>
      </c>
    </row>
    <row r="36" spans="1:20">
      <c r="A36" t="s">
        <v>30</v>
      </c>
      <c r="B36" s="2">
        <v>45717</v>
      </c>
      <c r="C36" t="s">
        <v>20</v>
      </c>
      <c r="D36" t="s">
        <v>16</v>
      </c>
      <c r="E36">
        <v>74413.88</v>
      </c>
      <c r="F36">
        <v>9449</v>
      </c>
      <c r="G36">
        <v>3.9E-2</v>
      </c>
      <c r="H36">
        <v>23</v>
      </c>
      <c r="I36">
        <v>92.1</v>
      </c>
      <c r="J36">
        <v>2.12</v>
      </c>
      <c r="K36">
        <v>0</v>
      </c>
      <c r="L36">
        <v>3.5</v>
      </c>
      <c r="M36">
        <v>798952.17</v>
      </c>
      <c r="N36">
        <v>161499.04</v>
      </c>
      <c r="O36">
        <f t="shared" si="0"/>
        <v>0</v>
      </c>
      <c r="P36">
        <f t="shared" si="1"/>
        <v>1</v>
      </c>
      <c r="Q36">
        <f t="shared" si="2"/>
        <v>0</v>
      </c>
      <c r="R36">
        <f t="shared" si="3"/>
        <v>1</v>
      </c>
      <c r="S36">
        <f t="shared" si="4"/>
        <v>0</v>
      </c>
      <c r="T36">
        <f t="shared" si="5"/>
        <v>0</v>
      </c>
    </row>
    <row r="37" spans="1:20">
      <c r="A37" t="s">
        <v>30</v>
      </c>
      <c r="B37" s="2">
        <v>45748</v>
      </c>
      <c r="C37" t="s">
        <v>20</v>
      </c>
      <c r="D37" t="s">
        <v>16</v>
      </c>
      <c r="E37">
        <v>52483.77</v>
      </c>
      <c r="F37">
        <v>10453</v>
      </c>
      <c r="G37">
        <v>0.247</v>
      </c>
      <c r="H37">
        <v>25</v>
      </c>
      <c r="I37">
        <v>99</v>
      </c>
      <c r="J37">
        <v>6.31</v>
      </c>
      <c r="K37">
        <v>0</v>
      </c>
      <c r="L37">
        <v>3.6</v>
      </c>
      <c r="M37">
        <v>800979.78</v>
      </c>
      <c r="N37">
        <v>149242.26999999999</v>
      </c>
      <c r="O37">
        <f t="shared" si="0"/>
        <v>0</v>
      </c>
      <c r="P37">
        <f t="shared" si="1"/>
        <v>1</v>
      </c>
      <c r="Q37">
        <f t="shared" si="2"/>
        <v>0</v>
      </c>
      <c r="R37">
        <f t="shared" si="3"/>
        <v>1</v>
      </c>
      <c r="S37">
        <f t="shared" si="4"/>
        <v>0</v>
      </c>
      <c r="T37">
        <f t="shared" si="5"/>
        <v>0</v>
      </c>
    </row>
    <row r="38" spans="1:20">
      <c r="A38" t="s">
        <v>31</v>
      </c>
      <c r="B38" s="2">
        <v>45658</v>
      </c>
      <c r="C38" t="s">
        <v>20</v>
      </c>
      <c r="D38" t="s">
        <v>28</v>
      </c>
      <c r="E38">
        <v>75269.87</v>
      </c>
      <c r="F38">
        <v>8838</v>
      </c>
      <c r="G38">
        <v>9.1999999999999998E-2</v>
      </c>
      <c r="H38">
        <v>21</v>
      </c>
      <c r="I38">
        <v>83.1</v>
      </c>
      <c r="J38">
        <v>9.56</v>
      </c>
      <c r="K38">
        <v>1</v>
      </c>
      <c r="L38">
        <v>4.2</v>
      </c>
      <c r="M38">
        <v>820593.93</v>
      </c>
      <c r="N38">
        <v>115860.06</v>
      </c>
      <c r="O38">
        <f t="shared" si="0"/>
        <v>0</v>
      </c>
      <c r="P38">
        <f t="shared" si="1"/>
        <v>1</v>
      </c>
      <c r="Q38">
        <f t="shared" si="2"/>
        <v>0</v>
      </c>
      <c r="R38">
        <f t="shared" si="3"/>
        <v>0</v>
      </c>
      <c r="S38">
        <f t="shared" si="4"/>
        <v>0</v>
      </c>
      <c r="T38">
        <f t="shared" si="5"/>
        <v>0</v>
      </c>
    </row>
    <row r="39" spans="1:20">
      <c r="A39" t="s">
        <v>31</v>
      </c>
      <c r="B39" s="2">
        <v>45689</v>
      </c>
      <c r="C39" t="s">
        <v>20</v>
      </c>
      <c r="D39" t="s">
        <v>28</v>
      </c>
      <c r="E39">
        <v>61245.41</v>
      </c>
      <c r="F39">
        <v>8156</v>
      </c>
      <c r="G39">
        <v>0.156</v>
      </c>
      <c r="H39">
        <v>19</v>
      </c>
      <c r="I39">
        <v>92.9</v>
      </c>
      <c r="J39">
        <v>9.0500000000000007</v>
      </c>
      <c r="K39">
        <v>0</v>
      </c>
      <c r="L39">
        <v>3.8</v>
      </c>
      <c r="M39">
        <v>718330.53</v>
      </c>
      <c r="N39">
        <v>93247.9</v>
      </c>
      <c r="O39">
        <f t="shared" si="0"/>
        <v>0</v>
      </c>
      <c r="P39">
        <f t="shared" si="1"/>
        <v>1</v>
      </c>
      <c r="Q39">
        <f t="shared" si="2"/>
        <v>0</v>
      </c>
      <c r="R39">
        <f t="shared" si="3"/>
        <v>0</v>
      </c>
      <c r="S39">
        <f t="shared" si="4"/>
        <v>0</v>
      </c>
      <c r="T39">
        <f t="shared" si="5"/>
        <v>0</v>
      </c>
    </row>
    <row r="40" spans="1:20">
      <c r="A40" t="s">
        <v>31</v>
      </c>
      <c r="B40" s="2">
        <v>45717</v>
      </c>
      <c r="C40" t="s">
        <v>20</v>
      </c>
      <c r="D40" t="s">
        <v>28</v>
      </c>
      <c r="E40">
        <v>93381.26</v>
      </c>
      <c r="F40">
        <v>7562</v>
      </c>
      <c r="G40">
        <v>0.19800000000000001</v>
      </c>
      <c r="H40">
        <v>19</v>
      </c>
      <c r="I40">
        <v>82.9</v>
      </c>
      <c r="J40">
        <v>5.05</v>
      </c>
      <c r="K40">
        <v>0</v>
      </c>
      <c r="L40">
        <v>4</v>
      </c>
      <c r="M40">
        <v>736633.4</v>
      </c>
      <c r="N40">
        <v>115654.66</v>
      </c>
      <c r="O40">
        <f t="shared" si="0"/>
        <v>0</v>
      </c>
      <c r="P40">
        <f t="shared" si="1"/>
        <v>1</v>
      </c>
      <c r="Q40">
        <f t="shared" si="2"/>
        <v>0</v>
      </c>
      <c r="R40">
        <f t="shared" si="3"/>
        <v>0</v>
      </c>
      <c r="S40">
        <f t="shared" si="4"/>
        <v>0</v>
      </c>
      <c r="T40">
        <f t="shared" si="5"/>
        <v>0</v>
      </c>
    </row>
    <row r="41" spans="1:20">
      <c r="A41" t="s">
        <v>31</v>
      </c>
      <c r="B41" s="2">
        <v>45748</v>
      </c>
      <c r="C41" t="s">
        <v>20</v>
      </c>
      <c r="D41" t="s">
        <v>28</v>
      </c>
      <c r="E41">
        <v>65012.19</v>
      </c>
      <c r="F41">
        <v>9598</v>
      </c>
      <c r="G41">
        <v>8.5000000000000006E-2</v>
      </c>
      <c r="H41">
        <v>24</v>
      </c>
      <c r="I41">
        <v>98.3</v>
      </c>
      <c r="J41">
        <v>0.89</v>
      </c>
      <c r="K41">
        <v>0</v>
      </c>
      <c r="L41">
        <v>3.8</v>
      </c>
      <c r="M41">
        <v>828623.85</v>
      </c>
      <c r="N41">
        <v>167320.51999999999</v>
      </c>
      <c r="O41">
        <f t="shared" si="0"/>
        <v>0</v>
      </c>
      <c r="P41">
        <f t="shared" si="1"/>
        <v>1</v>
      </c>
      <c r="Q41">
        <f t="shared" si="2"/>
        <v>0</v>
      </c>
      <c r="R41">
        <f t="shared" si="3"/>
        <v>0</v>
      </c>
      <c r="S41">
        <f t="shared" si="4"/>
        <v>0</v>
      </c>
      <c r="T41">
        <f t="shared" si="5"/>
        <v>0</v>
      </c>
    </row>
    <row r="42" spans="1:20">
      <c r="A42" t="s">
        <v>32</v>
      </c>
      <c r="B42" s="2">
        <v>45658</v>
      </c>
      <c r="C42" t="s">
        <v>15</v>
      </c>
      <c r="D42" t="s">
        <v>28</v>
      </c>
      <c r="E42">
        <v>40462.94</v>
      </c>
      <c r="F42">
        <v>3660</v>
      </c>
      <c r="G42">
        <v>0.218</v>
      </c>
      <c r="H42">
        <v>11</v>
      </c>
      <c r="I42">
        <v>95.2</v>
      </c>
      <c r="J42">
        <v>5.57</v>
      </c>
      <c r="K42">
        <v>0</v>
      </c>
      <c r="L42">
        <v>4.4000000000000004</v>
      </c>
      <c r="M42">
        <v>592195.85</v>
      </c>
      <c r="N42">
        <v>92291.56</v>
      </c>
      <c r="O42">
        <f t="shared" si="0"/>
        <v>1</v>
      </c>
      <c r="P42">
        <f t="shared" si="1"/>
        <v>0</v>
      </c>
      <c r="Q42">
        <f t="shared" si="2"/>
        <v>0</v>
      </c>
      <c r="R42">
        <f t="shared" si="3"/>
        <v>0</v>
      </c>
      <c r="S42">
        <f t="shared" si="4"/>
        <v>0</v>
      </c>
      <c r="T42">
        <f t="shared" si="5"/>
        <v>0</v>
      </c>
    </row>
    <row r="43" spans="1:20">
      <c r="A43" t="s">
        <v>32</v>
      </c>
      <c r="B43" s="2">
        <v>45689</v>
      </c>
      <c r="C43" t="s">
        <v>15</v>
      </c>
      <c r="D43" t="s">
        <v>28</v>
      </c>
      <c r="E43">
        <v>46123.88</v>
      </c>
      <c r="F43">
        <v>3227</v>
      </c>
      <c r="G43">
        <v>0.14299999999999999</v>
      </c>
      <c r="H43">
        <v>10</v>
      </c>
      <c r="I43">
        <v>75.400000000000006</v>
      </c>
      <c r="J43">
        <v>1.06</v>
      </c>
      <c r="K43">
        <v>0</v>
      </c>
      <c r="L43">
        <v>4.4000000000000004</v>
      </c>
      <c r="M43">
        <v>532644.46</v>
      </c>
      <c r="N43">
        <v>60681.32</v>
      </c>
      <c r="O43">
        <f t="shared" si="0"/>
        <v>1</v>
      </c>
      <c r="P43">
        <f t="shared" si="1"/>
        <v>0</v>
      </c>
      <c r="Q43">
        <f t="shared" si="2"/>
        <v>0</v>
      </c>
      <c r="R43">
        <f t="shared" si="3"/>
        <v>0</v>
      </c>
      <c r="S43">
        <f t="shared" si="4"/>
        <v>0</v>
      </c>
      <c r="T43">
        <f t="shared" si="5"/>
        <v>0</v>
      </c>
    </row>
    <row r="44" spans="1:20">
      <c r="A44" t="s">
        <v>32</v>
      </c>
      <c r="B44" s="2">
        <v>45717</v>
      </c>
      <c r="C44" t="s">
        <v>15</v>
      </c>
      <c r="D44" t="s">
        <v>28</v>
      </c>
      <c r="E44">
        <v>68077.539999999994</v>
      </c>
      <c r="F44">
        <v>3360</v>
      </c>
      <c r="G44">
        <v>0.128</v>
      </c>
      <c r="H44">
        <v>14</v>
      </c>
      <c r="I44">
        <v>88.2</v>
      </c>
      <c r="J44">
        <v>1.24</v>
      </c>
      <c r="K44">
        <v>1</v>
      </c>
      <c r="L44">
        <v>4</v>
      </c>
      <c r="M44">
        <v>657429.18000000005</v>
      </c>
      <c r="N44">
        <v>88919.74</v>
      </c>
      <c r="O44">
        <f t="shared" si="0"/>
        <v>1</v>
      </c>
      <c r="P44">
        <f t="shared" si="1"/>
        <v>0</v>
      </c>
      <c r="Q44">
        <f t="shared" si="2"/>
        <v>0</v>
      </c>
      <c r="R44">
        <f t="shared" si="3"/>
        <v>0</v>
      </c>
      <c r="S44">
        <f t="shared" si="4"/>
        <v>0</v>
      </c>
      <c r="T44">
        <f t="shared" si="5"/>
        <v>0</v>
      </c>
    </row>
    <row r="45" spans="1:20">
      <c r="A45" t="s">
        <v>32</v>
      </c>
      <c r="B45" s="2">
        <v>45748</v>
      </c>
      <c r="C45" t="s">
        <v>15</v>
      </c>
      <c r="D45" t="s">
        <v>28</v>
      </c>
      <c r="E45">
        <v>64882.14</v>
      </c>
      <c r="F45">
        <v>3642</v>
      </c>
      <c r="G45">
        <v>1.9E-2</v>
      </c>
      <c r="H45">
        <v>13</v>
      </c>
      <c r="I45">
        <v>87.8</v>
      </c>
      <c r="J45">
        <v>4.5199999999999996</v>
      </c>
      <c r="K45">
        <v>0</v>
      </c>
      <c r="L45">
        <v>4.2</v>
      </c>
      <c r="M45">
        <v>605178</v>
      </c>
      <c r="N45">
        <v>106958.74</v>
      </c>
      <c r="O45">
        <f t="shared" si="0"/>
        <v>1</v>
      </c>
      <c r="P45">
        <f t="shared" si="1"/>
        <v>0</v>
      </c>
      <c r="Q45">
        <f t="shared" si="2"/>
        <v>0</v>
      </c>
      <c r="R45">
        <f t="shared" si="3"/>
        <v>0</v>
      </c>
      <c r="S45">
        <f t="shared" si="4"/>
        <v>0</v>
      </c>
      <c r="T45">
        <f t="shared" si="5"/>
        <v>0</v>
      </c>
    </row>
    <row r="46" spans="1:20">
      <c r="A46" t="s">
        <v>33</v>
      </c>
      <c r="B46" s="2">
        <v>45658</v>
      </c>
      <c r="C46" t="s">
        <v>27</v>
      </c>
      <c r="D46" t="s">
        <v>16</v>
      </c>
      <c r="E46">
        <v>138855.51</v>
      </c>
      <c r="F46">
        <v>5145</v>
      </c>
      <c r="G46">
        <v>0.06</v>
      </c>
      <c r="H46">
        <v>17</v>
      </c>
      <c r="I46">
        <v>88.2</v>
      </c>
      <c r="J46">
        <v>9.58</v>
      </c>
      <c r="K46">
        <v>0</v>
      </c>
      <c r="L46">
        <v>3.2</v>
      </c>
      <c r="M46">
        <v>595467.6</v>
      </c>
      <c r="N46">
        <v>104276.46</v>
      </c>
      <c r="O46">
        <f t="shared" si="0"/>
        <v>0</v>
      </c>
      <c r="P46">
        <f t="shared" si="1"/>
        <v>0</v>
      </c>
      <c r="Q46">
        <f t="shared" si="2"/>
        <v>0</v>
      </c>
      <c r="R46">
        <f t="shared" si="3"/>
        <v>1</v>
      </c>
      <c r="S46">
        <f t="shared" si="4"/>
        <v>0</v>
      </c>
      <c r="T46">
        <f t="shared" si="5"/>
        <v>0</v>
      </c>
    </row>
    <row r="47" spans="1:20">
      <c r="A47" t="s">
        <v>33</v>
      </c>
      <c r="B47" s="2">
        <v>45689</v>
      </c>
      <c r="C47" t="s">
        <v>27</v>
      </c>
      <c r="D47" t="s">
        <v>16</v>
      </c>
      <c r="E47">
        <v>63630.21</v>
      </c>
      <c r="F47">
        <v>4460</v>
      </c>
      <c r="G47">
        <v>0.23499999999999999</v>
      </c>
      <c r="H47">
        <v>14</v>
      </c>
      <c r="I47">
        <v>98.6</v>
      </c>
      <c r="J47">
        <v>5.52</v>
      </c>
      <c r="K47">
        <v>0</v>
      </c>
      <c r="L47">
        <v>3.5</v>
      </c>
      <c r="M47">
        <v>599603.4</v>
      </c>
      <c r="N47">
        <v>112685.12</v>
      </c>
      <c r="O47">
        <f t="shared" si="0"/>
        <v>0</v>
      </c>
      <c r="P47">
        <f t="shared" si="1"/>
        <v>0</v>
      </c>
      <c r="Q47">
        <f t="shared" si="2"/>
        <v>0</v>
      </c>
      <c r="R47">
        <f t="shared" si="3"/>
        <v>1</v>
      </c>
      <c r="S47">
        <f t="shared" si="4"/>
        <v>0</v>
      </c>
      <c r="T47">
        <f t="shared" si="5"/>
        <v>0</v>
      </c>
    </row>
    <row r="48" spans="1:20">
      <c r="A48" t="s">
        <v>33</v>
      </c>
      <c r="B48" s="2">
        <v>45717</v>
      </c>
      <c r="C48" t="s">
        <v>27</v>
      </c>
      <c r="D48" t="s">
        <v>16</v>
      </c>
      <c r="E48">
        <v>50043.65</v>
      </c>
      <c r="F48">
        <v>3804</v>
      </c>
      <c r="G48">
        <v>0.113</v>
      </c>
      <c r="H48">
        <v>11</v>
      </c>
      <c r="I48">
        <v>90.9</v>
      </c>
      <c r="J48">
        <v>2.7</v>
      </c>
      <c r="K48">
        <v>1</v>
      </c>
      <c r="L48">
        <v>3.2</v>
      </c>
      <c r="M48">
        <v>614800.09</v>
      </c>
      <c r="N48">
        <v>100044.2</v>
      </c>
      <c r="O48">
        <f t="shared" si="0"/>
        <v>0</v>
      </c>
      <c r="P48">
        <f t="shared" si="1"/>
        <v>0</v>
      </c>
      <c r="Q48">
        <f t="shared" si="2"/>
        <v>0</v>
      </c>
      <c r="R48">
        <f t="shared" si="3"/>
        <v>1</v>
      </c>
      <c r="S48">
        <f t="shared" si="4"/>
        <v>0</v>
      </c>
      <c r="T48">
        <f t="shared" si="5"/>
        <v>0</v>
      </c>
    </row>
    <row r="49" spans="1:20">
      <c r="A49" t="s">
        <v>33</v>
      </c>
      <c r="B49" s="2">
        <v>45748</v>
      </c>
      <c r="C49" t="s">
        <v>27</v>
      </c>
      <c r="D49" t="s">
        <v>16</v>
      </c>
      <c r="E49">
        <v>42093.84</v>
      </c>
      <c r="F49">
        <v>4074</v>
      </c>
      <c r="G49">
        <v>0.155</v>
      </c>
      <c r="H49">
        <v>15</v>
      </c>
      <c r="I49">
        <v>88</v>
      </c>
      <c r="J49">
        <v>9.64</v>
      </c>
      <c r="K49">
        <v>0</v>
      </c>
      <c r="L49">
        <v>3.3</v>
      </c>
      <c r="M49">
        <v>585365.73</v>
      </c>
      <c r="N49">
        <v>81011.520000000004</v>
      </c>
      <c r="O49">
        <f t="shared" si="0"/>
        <v>0</v>
      </c>
      <c r="P49">
        <f t="shared" si="1"/>
        <v>0</v>
      </c>
      <c r="Q49">
        <f t="shared" si="2"/>
        <v>0</v>
      </c>
      <c r="R49">
        <f t="shared" si="3"/>
        <v>1</v>
      </c>
      <c r="S49">
        <f t="shared" si="4"/>
        <v>0</v>
      </c>
      <c r="T49">
        <f t="shared" si="5"/>
        <v>0</v>
      </c>
    </row>
    <row r="50" spans="1:20">
      <c r="A50" t="s">
        <v>34</v>
      </c>
      <c r="B50" s="2">
        <v>45658</v>
      </c>
      <c r="C50" t="s">
        <v>20</v>
      </c>
      <c r="D50" t="s">
        <v>28</v>
      </c>
      <c r="E50">
        <v>46624.05</v>
      </c>
      <c r="F50">
        <v>5104</v>
      </c>
      <c r="G50">
        <v>0.109</v>
      </c>
      <c r="H50">
        <v>11</v>
      </c>
      <c r="I50">
        <v>97.3</v>
      </c>
      <c r="J50">
        <v>3.49</v>
      </c>
      <c r="K50">
        <v>1</v>
      </c>
      <c r="L50">
        <v>4.7</v>
      </c>
      <c r="M50">
        <v>622811.74</v>
      </c>
      <c r="N50">
        <v>109978.35</v>
      </c>
      <c r="O50">
        <f t="shared" si="0"/>
        <v>0</v>
      </c>
      <c r="P50">
        <f t="shared" si="1"/>
        <v>1</v>
      </c>
      <c r="Q50">
        <f t="shared" si="2"/>
        <v>0</v>
      </c>
      <c r="R50">
        <f t="shared" si="3"/>
        <v>0</v>
      </c>
      <c r="S50">
        <f t="shared" si="4"/>
        <v>0</v>
      </c>
      <c r="T50">
        <f t="shared" si="5"/>
        <v>0</v>
      </c>
    </row>
    <row r="51" spans="1:20">
      <c r="A51" t="s">
        <v>34</v>
      </c>
      <c r="B51" s="2">
        <v>45689</v>
      </c>
      <c r="C51" t="s">
        <v>20</v>
      </c>
      <c r="D51" t="s">
        <v>28</v>
      </c>
      <c r="E51">
        <v>49710.29</v>
      </c>
      <c r="F51">
        <v>5559</v>
      </c>
      <c r="G51">
        <v>0.218</v>
      </c>
      <c r="H51">
        <v>14</v>
      </c>
      <c r="I51">
        <v>71</v>
      </c>
      <c r="J51">
        <v>9.11</v>
      </c>
      <c r="K51">
        <v>0</v>
      </c>
      <c r="L51">
        <v>4.5999999999999996</v>
      </c>
      <c r="M51">
        <v>603297.56999999995</v>
      </c>
      <c r="N51">
        <v>60592.26</v>
      </c>
      <c r="O51">
        <f t="shared" si="0"/>
        <v>0</v>
      </c>
      <c r="P51">
        <f t="shared" si="1"/>
        <v>1</v>
      </c>
      <c r="Q51">
        <f t="shared" si="2"/>
        <v>0</v>
      </c>
      <c r="R51">
        <f t="shared" si="3"/>
        <v>0</v>
      </c>
      <c r="S51">
        <f t="shared" si="4"/>
        <v>0</v>
      </c>
      <c r="T51">
        <f t="shared" si="5"/>
        <v>0</v>
      </c>
    </row>
    <row r="52" spans="1:20">
      <c r="A52" t="s">
        <v>34</v>
      </c>
      <c r="B52" s="2">
        <v>45717</v>
      </c>
      <c r="C52" t="s">
        <v>20</v>
      </c>
      <c r="D52" t="s">
        <v>28</v>
      </c>
      <c r="E52">
        <v>48287.85</v>
      </c>
      <c r="F52">
        <v>5150</v>
      </c>
      <c r="G52">
        <v>8.0000000000000002E-3</v>
      </c>
      <c r="H52">
        <v>12</v>
      </c>
      <c r="I52">
        <v>80.400000000000006</v>
      </c>
      <c r="J52">
        <v>7.4</v>
      </c>
      <c r="K52">
        <v>0</v>
      </c>
      <c r="L52">
        <v>4.5</v>
      </c>
      <c r="M52">
        <v>625672.86</v>
      </c>
      <c r="N52">
        <v>118020.12</v>
      </c>
      <c r="O52">
        <f t="shared" si="0"/>
        <v>0</v>
      </c>
      <c r="P52">
        <f t="shared" si="1"/>
        <v>1</v>
      </c>
      <c r="Q52">
        <f t="shared" si="2"/>
        <v>0</v>
      </c>
      <c r="R52">
        <f t="shared" si="3"/>
        <v>0</v>
      </c>
      <c r="S52">
        <f t="shared" si="4"/>
        <v>0</v>
      </c>
      <c r="T52">
        <f t="shared" si="5"/>
        <v>0</v>
      </c>
    </row>
    <row r="53" spans="1:20">
      <c r="A53" t="s">
        <v>34</v>
      </c>
      <c r="B53" s="2">
        <v>45748</v>
      </c>
      <c r="C53" t="s">
        <v>20</v>
      </c>
      <c r="D53" t="s">
        <v>28</v>
      </c>
      <c r="E53">
        <v>65312.49</v>
      </c>
      <c r="F53">
        <v>7189</v>
      </c>
      <c r="G53">
        <v>0.05</v>
      </c>
      <c r="H53">
        <v>19</v>
      </c>
      <c r="I53">
        <v>93.7</v>
      </c>
      <c r="J53">
        <v>7.16</v>
      </c>
      <c r="K53">
        <v>0</v>
      </c>
      <c r="L53">
        <v>4.5999999999999996</v>
      </c>
      <c r="M53">
        <v>773815.14</v>
      </c>
      <c r="N53">
        <v>133948.39000000001</v>
      </c>
      <c r="O53">
        <f t="shared" si="0"/>
        <v>0</v>
      </c>
      <c r="P53">
        <f t="shared" si="1"/>
        <v>1</v>
      </c>
      <c r="Q53">
        <f t="shared" si="2"/>
        <v>0</v>
      </c>
      <c r="R53">
        <f t="shared" si="3"/>
        <v>0</v>
      </c>
      <c r="S53">
        <f t="shared" si="4"/>
        <v>0</v>
      </c>
      <c r="T53">
        <f t="shared" si="5"/>
        <v>0</v>
      </c>
    </row>
    <row r="54" spans="1:20">
      <c r="A54" t="s">
        <v>35</v>
      </c>
      <c r="B54" s="2">
        <v>45658</v>
      </c>
      <c r="C54" t="s">
        <v>27</v>
      </c>
      <c r="D54" t="s">
        <v>18</v>
      </c>
      <c r="E54">
        <v>53015.46</v>
      </c>
      <c r="F54">
        <v>3279</v>
      </c>
      <c r="G54">
        <v>8.6999999999999994E-2</v>
      </c>
      <c r="H54">
        <v>9</v>
      </c>
      <c r="I54">
        <v>84.3</v>
      </c>
      <c r="J54">
        <v>22.02</v>
      </c>
      <c r="K54">
        <v>0</v>
      </c>
      <c r="L54">
        <v>3.9</v>
      </c>
      <c r="M54">
        <v>463534.25</v>
      </c>
      <c r="N54">
        <v>81834.539999999994</v>
      </c>
      <c r="O54">
        <f t="shared" si="0"/>
        <v>0</v>
      </c>
      <c r="P54">
        <f t="shared" si="1"/>
        <v>0</v>
      </c>
      <c r="Q54">
        <f t="shared" si="2"/>
        <v>0</v>
      </c>
      <c r="R54">
        <f t="shared" si="3"/>
        <v>0</v>
      </c>
      <c r="S54">
        <f t="shared" si="4"/>
        <v>1</v>
      </c>
      <c r="T54">
        <f t="shared" si="5"/>
        <v>0</v>
      </c>
    </row>
    <row r="55" spans="1:20">
      <c r="A55" t="s">
        <v>35</v>
      </c>
      <c r="B55" s="2">
        <v>45689</v>
      </c>
      <c r="C55" t="s">
        <v>27</v>
      </c>
      <c r="D55" t="s">
        <v>18</v>
      </c>
      <c r="E55">
        <v>99874.01</v>
      </c>
      <c r="F55">
        <v>5887</v>
      </c>
      <c r="G55">
        <v>0.26200000000000001</v>
      </c>
      <c r="H55">
        <v>14</v>
      </c>
      <c r="I55">
        <v>88.7</v>
      </c>
      <c r="J55">
        <v>6.18</v>
      </c>
      <c r="K55">
        <v>0</v>
      </c>
      <c r="L55">
        <v>4.7</v>
      </c>
      <c r="M55">
        <v>746677.75</v>
      </c>
      <c r="N55">
        <v>122437.84</v>
      </c>
      <c r="O55">
        <f t="shared" si="0"/>
        <v>0</v>
      </c>
      <c r="P55">
        <f t="shared" si="1"/>
        <v>0</v>
      </c>
      <c r="Q55">
        <f t="shared" si="2"/>
        <v>0</v>
      </c>
      <c r="R55">
        <f t="shared" si="3"/>
        <v>0</v>
      </c>
      <c r="S55">
        <f t="shared" si="4"/>
        <v>1</v>
      </c>
      <c r="T55">
        <f t="shared" si="5"/>
        <v>0</v>
      </c>
    </row>
    <row r="56" spans="1:20">
      <c r="A56" t="s">
        <v>35</v>
      </c>
      <c r="B56" s="2">
        <v>45717</v>
      </c>
      <c r="C56" t="s">
        <v>27</v>
      </c>
      <c r="D56" t="s">
        <v>18</v>
      </c>
      <c r="E56">
        <v>81195.5</v>
      </c>
      <c r="F56">
        <v>5516</v>
      </c>
      <c r="G56">
        <v>0.106</v>
      </c>
      <c r="H56">
        <v>14</v>
      </c>
      <c r="I56">
        <v>88</v>
      </c>
      <c r="J56">
        <v>1.76</v>
      </c>
      <c r="K56">
        <v>0</v>
      </c>
      <c r="L56">
        <v>4.3</v>
      </c>
      <c r="M56">
        <v>720852.5</v>
      </c>
      <c r="N56">
        <v>98565.62</v>
      </c>
      <c r="O56">
        <f t="shared" si="0"/>
        <v>0</v>
      </c>
      <c r="P56">
        <f t="shared" si="1"/>
        <v>0</v>
      </c>
      <c r="Q56">
        <f t="shared" si="2"/>
        <v>0</v>
      </c>
      <c r="R56">
        <f t="shared" si="3"/>
        <v>0</v>
      </c>
      <c r="S56">
        <f t="shared" si="4"/>
        <v>1</v>
      </c>
      <c r="T56">
        <f t="shared" si="5"/>
        <v>0</v>
      </c>
    </row>
    <row r="57" spans="1:20">
      <c r="A57" t="s">
        <v>35</v>
      </c>
      <c r="B57" s="2">
        <v>45748</v>
      </c>
      <c r="C57" t="s">
        <v>27</v>
      </c>
      <c r="D57" t="s">
        <v>18</v>
      </c>
      <c r="E57">
        <v>27808.6</v>
      </c>
      <c r="F57">
        <v>2863</v>
      </c>
      <c r="G57">
        <v>0.08</v>
      </c>
      <c r="H57">
        <v>13</v>
      </c>
      <c r="I57">
        <v>89.3</v>
      </c>
      <c r="J57">
        <v>0.47</v>
      </c>
      <c r="K57">
        <v>0</v>
      </c>
      <c r="L57">
        <v>4.0999999999999996</v>
      </c>
      <c r="M57">
        <v>487464.91</v>
      </c>
      <c r="N57">
        <v>64562.26</v>
      </c>
      <c r="O57">
        <f t="shared" si="0"/>
        <v>0</v>
      </c>
      <c r="P57">
        <f t="shared" si="1"/>
        <v>0</v>
      </c>
      <c r="Q57">
        <f t="shared" si="2"/>
        <v>0</v>
      </c>
      <c r="R57">
        <f t="shared" si="3"/>
        <v>0</v>
      </c>
      <c r="S57">
        <f t="shared" si="4"/>
        <v>1</v>
      </c>
      <c r="T57">
        <f t="shared" si="5"/>
        <v>0</v>
      </c>
    </row>
    <row r="58" spans="1:20">
      <c r="A58" t="s">
        <v>36</v>
      </c>
      <c r="B58" s="2">
        <v>45658</v>
      </c>
      <c r="C58" t="s">
        <v>15</v>
      </c>
      <c r="D58" t="s">
        <v>21</v>
      </c>
      <c r="E58">
        <v>19365.060000000001</v>
      </c>
      <c r="F58">
        <v>2378</v>
      </c>
      <c r="G58">
        <v>0</v>
      </c>
      <c r="H58">
        <v>12</v>
      </c>
      <c r="I58">
        <v>94.8</v>
      </c>
      <c r="J58">
        <v>0.2</v>
      </c>
      <c r="K58">
        <v>0</v>
      </c>
      <c r="L58">
        <v>3.5</v>
      </c>
      <c r="M58">
        <v>518049.26</v>
      </c>
      <c r="N58">
        <v>108592.49</v>
      </c>
      <c r="O58">
        <f t="shared" si="0"/>
        <v>1</v>
      </c>
      <c r="P58">
        <f t="shared" si="1"/>
        <v>0</v>
      </c>
      <c r="Q58">
        <f t="shared" si="2"/>
        <v>0</v>
      </c>
      <c r="R58">
        <f t="shared" si="3"/>
        <v>0</v>
      </c>
      <c r="S58">
        <f t="shared" si="4"/>
        <v>0</v>
      </c>
      <c r="T58">
        <f t="shared" si="5"/>
        <v>1</v>
      </c>
    </row>
    <row r="59" spans="1:20">
      <c r="A59" t="s">
        <v>36</v>
      </c>
      <c r="B59" s="2">
        <v>45689</v>
      </c>
      <c r="C59" t="s">
        <v>15</v>
      </c>
      <c r="D59" t="s">
        <v>21</v>
      </c>
      <c r="E59">
        <v>59405.68</v>
      </c>
      <c r="F59">
        <v>2515</v>
      </c>
      <c r="G59">
        <v>3.9E-2</v>
      </c>
      <c r="H59">
        <v>12</v>
      </c>
      <c r="I59">
        <v>76</v>
      </c>
      <c r="J59">
        <v>5.1100000000000003</v>
      </c>
      <c r="K59">
        <v>0</v>
      </c>
      <c r="L59">
        <v>3.7</v>
      </c>
      <c r="M59">
        <v>500298.48</v>
      </c>
      <c r="N59">
        <v>73461.320000000007</v>
      </c>
      <c r="O59">
        <f t="shared" si="0"/>
        <v>1</v>
      </c>
      <c r="P59">
        <f t="shared" si="1"/>
        <v>0</v>
      </c>
      <c r="Q59">
        <f t="shared" si="2"/>
        <v>0</v>
      </c>
      <c r="R59">
        <f t="shared" si="3"/>
        <v>0</v>
      </c>
      <c r="S59">
        <f t="shared" si="4"/>
        <v>0</v>
      </c>
      <c r="T59">
        <f t="shared" si="5"/>
        <v>1</v>
      </c>
    </row>
    <row r="60" spans="1:20">
      <c r="A60" t="s">
        <v>36</v>
      </c>
      <c r="B60" s="2">
        <v>45717</v>
      </c>
      <c r="C60" t="s">
        <v>15</v>
      </c>
      <c r="D60" t="s">
        <v>21</v>
      </c>
      <c r="E60">
        <v>118910.48</v>
      </c>
      <c r="F60">
        <v>4022</v>
      </c>
      <c r="G60">
        <v>0.13700000000000001</v>
      </c>
      <c r="H60">
        <v>11</v>
      </c>
      <c r="I60">
        <v>87.1</v>
      </c>
      <c r="J60">
        <v>0.2</v>
      </c>
      <c r="K60">
        <v>0</v>
      </c>
      <c r="L60">
        <v>3.1</v>
      </c>
      <c r="M60">
        <v>617291.15</v>
      </c>
      <c r="N60">
        <v>117782</v>
      </c>
      <c r="O60">
        <f t="shared" si="0"/>
        <v>1</v>
      </c>
      <c r="P60">
        <f t="shared" si="1"/>
        <v>0</v>
      </c>
      <c r="Q60">
        <f t="shared" si="2"/>
        <v>0</v>
      </c>
      <c r="R60">
        <f t="shared" si="3"/>
        <v>0</v>
      </c>
      <c r="S60">
        <f t="shared" si="4"/>
        <v>0</v>
      </c>
      <c r="T60">
        <f t="shared" si="5"/>
        <v>1</v>
      </c>
    </row>
    <row r="61" spans="1:20">
      <c r="A61" t="s">
        <v>36</v>
      </c>
      <c r="B61" s="2">
        <v>45748</v>
      </c>
      <c r="C61" t="s">
        <v>15</v>
      </c>
      <c r="D61" t="s">
        <v>21</v>
      </c>
      <c r="E61">
        <v>52952.12</v>
      </c>
      <c r="F61">
        <v>4377</v>
      </c>
      <c r="G61">
        <v>9.1999999999999998E-2</v>
      </c>
      <c r="H61">
        <v>14</v>
      </c>
      <c r="I61">
        <v>88.6</v>
      </c>
      <c r="J61">
        <v>13.59</v>
      </c>
      <c r="K61">
        <v>0</v>
      </c>
      <c r="L61">
        <v>3.1</v>
      </c>
      <c r="M61">
        <v>553756.43000000005</v>
      </c>
      <c r="N61">
        <v>86166.77</v>
      </c>
      <c r="O61">
        <f t="shared" si="0"/>
        <v>1</v>
      </c>
      <c r="P61">
        <f t="shared" si="1"/>
        <v>0</v>
      </c>
      <c r="Q61">
        <f t="shared" si="2"/>
        <v>0</v>
      </c>
      <c r="R61">
        <f t="shared" si="3"/>
        <v>0</v>
      </c>
      <c r="S61">
        <f t="shared" si="4"/>
        <v>0</v>
      </c>
      <c r="T61">
        <f t="shared" si="5"/>
        <v>1</v>
      </c>
    </row>
    <row r="62" spans="1:20">
      <c r="A62" t="s">
        <v>37</v>
      </c>
      <c r="B62" s="2">
        <v>45658</v>
      </c>
      <c r="C62" t="s">
        <v>24</v>
      </c>
      <c r="D62" t="s">
        <v>18</v>
      </c>
      <c r="E62">
        <v>74907.98</v>
      </c>
      <c r="F62">
        <v>5306</v>
      </c>
      <c r="G62">
        <v>6.2E-2</v>
      </c>
      <c r="H62">
        <v>16</v>
      </c>
      <c r="I62">
        <v>95.6</v>
      </c>
      <c r="J62">
        <v>1.02</v>
      </c>
      <c r="K62">
        <v>0</v>
      </c>
      <c r="L62">
        <v>3.7</v>
      </c>
      <c r="M62">
        <v>749559.71</v>
      </c>
      <c r="N62">
        <v>144522.53</v>
      </c>
      <c r="O62">
        <f t="shared" si="0"/>
        <v>0</v>
      </c>
      <c r="P62">
        <f t="shared" si="1"/>
        <v>0</v>
      </c>
      <c r="Q62">
        <f t="shared" si="2"/>
        <v>1</v>
      </c>
      <c r="R62">
        <f t="shared" si="3"/>
        <v>0</v>
      </c>
      <c r="S62">
        <f t="shared" si="4"/>
        <v>1</v>
      </c>
      <c r="T62">
        <f t="shared" si="5"/>
        <v>0</v>
      </c>
    </row>
    <row r="63" spans="1:20">
      <c r="A63" t="s">
        <v>37</v>
      </c>
      <c r="B63" s="2">
        <v>45689</v>
      </c>
      <c r="C63" t="s">
        <v>24</v>
      </c>
      <c r="D63" t="s">
        <v>18</v>
      </c>
      <c r="E63">
        <v>37284.660000000003</v>
      </c>
      <c r="F63">
        <v>3928</v>
      </c>
      <c r="G63">
        <v>7.3999999999999996E-2</v>
      </c>
      <c r="H63">
        <v>12</v>
      </c>
      <c r="I63">
        <v>86.5</v>
      </c>
      <c r="J63">
        <v>1.64</v>
      </c>
      <c r="K63">
        <v>0</v>
      </c>
      <c r="L63">
        <v>3.8</v>
      </c>
      <c r="M63">
        <v>615966.48</v>
      </c>
      <c r="N63">
        <v>91509.38</v>
      </c>
      <c r="O63">
        <f t="shared" si="0"/>
        <v>0</v>
      </c>
      <c r="P63">
        <f t="shared" si="1"/>
        <v>0</v>
      </c>
      <c r="Q63">
        <f t="shared" si="2"/>
        <v>1</v>
      </c>
      <c r="R63">
        <f t="shared" si="3"/>
        <v>0</v>
      </c>
      <c r="S63">
        <f t="shared" si="4"/>
        <v>1</v>
      </c>
      <c r="T63">
        <f t="shared" si="5"/>
        <v>0</v>
      </c>
    </row>
    <row r="64" spans="1:20">
      <c r="A64" t="s">
        <v>37</v>
      </c>
      <c r="B64" s="2">
        <v>45717</v>
      </c>
      <c r="C64" t="s">
        <v>24</v>
      </c>
      <c r="D64" t="s">
        <v>18</v>
      </c>
      <c r="E64">
        <v>50343.19</v>
      </c>
      <c r="F64">
        <v>3845</v>
      </c>
      <c r="G64">
        <v>0.113</v>
      </c>
      <c r="H64">
        <v>9</v>
      </c>
      <c r="I64">
        <v>88.7</v>
      </c>
      <c r="J64">
        <v>5.15</v>
      </c>
      <c r="K64">
        <v>0</v>
      </c>
      <c r="L64">
        <v>3.3</v>
      </c>
      <c r="M64">
        <v>572011.19999999995</v>
      </c>
      <c r="N64">
        <v>101409.68</v>
      </c>
      <c r="O64">
        <f t="shared" si="0"/>
        <v>0</v>
      </c>
      <c r="P64">
        <f t="shared" si="1"/>
        <v>0</v>
      </c>
      <c r="Q64">
        <f t="shared" si="2"/>
        <v>1</v>
      </c>
      <c r="R64">
        <f t="shared" si="3"/>
        <v>0</v>
      </c>
      <c r="S64">
        <f t="shared" si="4"/>
        <v>1</v>
      </c>
      <c r="T64">
        <f t="shared" si="5"/>
        <v>0</v>
      </c>
    </row>
    <row r="65" spans="1:20">
      <c r="A65" t="s">
        <v>37</v>
      </c>
      <c r="B65" s="2">
        <v>45748</v>
      </c>
      <c r="C65" t="s">
        <v>24</v>
      </c>
      <c r="D65" t="s">
        <v>18</v>
      </c>
      <c r="E65">
        <v>74954.47</v>
      </c>
      <c r="F65">
        <v>6620</v>
      </c>
      <c r="G65">
        <v>5.3999999999999999E-2</v>
      </c>
      <c r="H65">
        <v>17</v>
      </c>
      <c r="I65">
        <v>91.1</v>
      </c>
      <c r="J65">
        <v>1.1100000000000001</v>
      </c>
      <c r="K65">
        <v>0</v>
      </c>
      <c r="L65">
        <v>3.5</v>
      </c>
      <c r="M65">
        <v>761860.19</v>
      </c>
      <c r="N65">
        <v>133279.38</v>
      </c>
      <c r="O65">
        <f t="shared" si="0"/>
        <v>0</v>
      </c>
      <c r="P65">
        <f t="shared" si="1"/>
        <v>0</v>
      </c>
      <c r="Q65">
        <f t="shared" si="2"/>
        <v>1</v>
      </c>
      <c r="R65">
        <f t="shared" si="3"/>
        <v>0</v>
      </c>
      <c r="S65">
        <f t="shared" si="4"/>
        <v>1</v>
      </c>
      <c r="T65">
        <f t="shared" si="5"/>
        <v>0</v>
      </c>
    </row>
    <row r="66" spans="1:20">
      <c r="A66" t="s">
        <v>38</v>
      </c>
      <c r="B66" s="2">
        <v>45658</v>
      </c>
      <c r="C66" t="s">
        <v>27</v>
      </c>
      <c r="D66" t="s">
        <v>18</v>
      </c>
      <c r="E66">
        <v>70040.31</v>
      </c>
      <c r="F66">
        <v>9175</v>
      </c>
      <c r="G66">
        <v>0.107</v>
      </c>
      <c r="H66">
        <v>23</v>
      </c>
      <c r="I66">
        <v>95.1</v>
      </c>
      <c r="J66">
        <v>6.08</v>
      </c>
      <c r="K66">
        <v>1</v>
      </c>
      <c r="L66">
        <v>3.4</v>
      </c>
      <c r="M66">
        <v>784502.68</v>
      </c>
      <c r="N66">
        <v>129519.72</v>
      </c>
      <c r="O66">
        <f t="shared" si="0"/>
        <v>0</v>
      </c>
      <c r="P66">
        <f t="shared" si="1"/>
        <v>0</v>
      </c>
      <c r="Q66">
        <f t="shared" si="2"/>
        <v>0</v>
      </c>
      <c r="R66">
        <f t="shared" si="3"/>
        <v>0</v>
      </c>
      <c r="S66">
        <f t="shared" si="4"/>
        <v>1</v>
      </c>
      <c r="T66">
        <f t="shared" si="5"/>
        <v>0</v>
      </c>
    </row>
    <row r="67" spans="1:20">
      <c r="A67" t="s">
        <v>38</v>
      </c>
      <c r="B67" s="2">
        <v>45689</v>
      </c>
      <c r="C67" t="s">
        <v>27</v>
      </c>
      <c r="D67" t="s">
        <v>18</v>
      </c>
      <c r="E67">
        <v>51148.69</v>
      </c>
      <c r="F67">
        <v>7940</v>
      </c>
      <c r="G67">
        <v>0.156</v>
      </c>
      <c r="H67">
        <v>18</v>
      </c>
      <c r="I67">
        <v>93.3</v>
      </c>
      <c r="J67">
        <v>10.91</v>
      </c>
      <c r="K67">
        <v>0</v>
      </c>
      <c r="L67">
        <v>3.6</v>
      </c>
      <c r="M67">
        <v>717141.55</v>
      </c>
      <c r="N67">
        <v>134013.60999999999</v>
      </c>
      <c r="O67">
        <f t="shared" ref="O67:O130" si="6">IF(C67="East",1,0)</f>
        <v>0</v>
      </c>
      <c r="P67">
        <f t="shared" ref="P67:P130" si="7">IF(C67="North",1,0)</f>
        <v>0</v>
      </c>
      <c r="Q67">
        <f t="shared" ref="Q67:Q130" si="8">IF(C67="South",1,0)</f>
        <v>0</v>
      </c>
      <c r="R67">
        <f t="shared" ref="R67:R130" si="9">IF(D67="Residential",1,0)</f>
        <v>0</v>
      </c>
      <c r="S67">
        <f t="shared" ref="S67:S130" si="10">IF(D67="High Street",1,0)</f>
        <v>1</v>
      </c>
      <c r="T67">
        <f t="shared" ref="T67:T130" si="11">IF(D67="Airport",1,0)</f>
        <v>0</v>
      </c>
    </row>
    <row r="68" spans="1:20">
      <c r="A68" t="s">
        <v>38</v>
      </c>
      <c r="B68" s="2">
        <v>45717</v>
      </c>
      <c r="C68" t="s">
        <v>27</v>
      </c>
      <c r="D68" t="s">
        <v>18</v>
      </c>
      <c r="E68">
        <v>79346.100000000006</v>
      </c>
      <c r="F68">
        <v>9628</v>
      </c>
      <c r="G68">
        <v>0.10199999999999999</v>
      </c>
      <c r="H68">
        <v>20</v>
      </c>
      <c r="I68">
        <v>99</v>
      </c>
      <c r="J68">
        <v>19.010000000000002</v>
      </c>
      <c r="K68">
        <v>1</v>
      </c>
      <c r="L68">
        <v>3.2</v>
      </c>
      <c r="M68">
        <v>685379.08</v>
      </c>
      <c r="N68">
        <v>106898.82</v>
      </c>
      <c r="O68">
        <f t="shared" si="6"/>
        <v>0</v>
      </c>
      <c r="P68">
        <f t="shared" si="7"/>
        <v>0</v>
      </c>
      <c r="Q68">
        <f t="shared" si="8"/>
        <v>0</v>
      </c>
      <c r="R68">
        <f t="shared" si="9"/>
        <v>0</v>
      </c>
      <c r="S68">
        <f t="shared" si="10"/>
        <v>1</v>
      </c>
      <c r="T68">
        <f t="shared" si="11"/>
        <v>0</v>
      </c>
    </row>
    <row r="69" spans="1:20">
      <c r="A69" t="s">
        <v>38</v>
      </c>
      <c r="B69" s="2">
        <v>45748</v>
      </c>
      <c r="C69" t="s">
        <v>27</v>
      </c>
      <c r="D69" t="s">
        <v>18</v>
      </c>
      <c r="E69">
        <v>42018.400000000001</v>
      </c>
      <c r="F69">
        <v>8296</v>
      </c>
      <c r="G69">
        <v>0.115</v>
      </c>
      <c r="H69">
        <v>17</v>
      </c>
      <c r="I69">
        <v>91.8</v>
      </c>
      <c r="J69">
        <v>0.77</v>
      </c>
      <c r="K69">
        <v>0</v>
      </c>
      <c r="L69">
        <v>3.4</v>
      </c>
      <c r="M69">
        <v>740496.65</v>
      </c>
      <c r="N69">
        <v>128020.9</v>
      </c>
      <c r="O69">
        <f t="shared" si="6"/>
        <v>0</v>
      </c>
      <c r="P69">
        <f t="shared" si="7"/>
        <v>0</v>
      </c>
      <c r="Q69">
        <f t="shared" si="8"/>
        <v>0</v>
      </c>
      <c r="R69">
        <f t="shared" si="9"/>
        <v>0</v>
      </c>
      <c r="S69">
        <f t="shared" si="10"/>
        <v>1</v>
      </c>
      <c r="T69">
        <f t="shared" si="11"/>
        <v>0</v>
      </c>
    </row>
    <row r="70" spans="1:20">
      <c r="A70" t="s">
        <v>39</v>
      </c>
      <c r="B70" s="2">
        <v>45658</v>
      </c>
      <c r="C70" t="s">
        <v>15</v>
      </c>
      <c r="D70" t="s">
        <v>18</v>
      </c>
      <c r="E70">
        <v>70937.240000000005</v>
      </c>
      <c r="F70">
        <v>3595</v>
      </c>
      <c r="G70">
        <v>0.14099999999999999</v>
      </c>
      <c r="H70">
        <v>11</v>
      </c>
      <c r="I70">
        <v>88.9</v>
      </c>
      <c r="J70">
        <v>2.83</v>
      </c>
      <c r="K70">
        <v>1</v>
      </c>
      <c r="L70">
        <v>3.3</v>
      </c>
      <c r="M70">
        <v>661927.14</v>
      </c>
      <c r="N70">
        <v>79218.570000000007</v>
      </c>
      <c r="O70">
        <f t="shared" si="6"/>
        <v>1</v>
      </c>
      <c r="P70">
        <f t="shared" si="7"/>
        <v>0</v>
      </c>
      <c r="Q70">
        <f t="shared" si="8"/>
        <v>0</v>
      </c>
      <c r="R70">
        <f t="shared" si="9"/>
        <v>0</v>
      </c>
      <c r="S70">
        <f t="shared" si="10"/>
        <v>1</v>
      </c>
      <c r="T70">
        <f t="shared" si="11"/>
        <v>0</v>
      </c>
    </row>
    <row r="71" spans="1:20">
      <c r="A71" t="s">
        <v>39</v>
      </c>
      <c r="B71" s="2">
        <v>45689</v>
      </c>
      <c r="C71" t="s">
        <v>15</v>
      </c>
      <c r="D71" t="s">
        <v>18</v>
      </c>
      <c r="E71">
        <v>36813.449999999997</v>
      </c>
      <c r="F71">
        <v>2834</v>
      </c>
      <c r="G71">
        <v>0.191</v>
      </c>
      <c r="H71">
        <v>11</v>
      </c>
      <c r="I71">
        <v>81.8</v>
      </c>
      <c r="J71">
        <v>2.33</v>
      </c>
      <c r="K71">
        <v>0</v>
      </c>
      <c r="L71">
        <v>3.3</v>
      </c>
      <c r="M71">
        <v>479050.5</v>
      </c>
      <c r="N71">
        <v>53651.11</v>
      </c>
      <c r="O71">
        <f t="shared" si="6"/>
        <v>1</v>
      </c>
      <c r="P71">
        <f t="shared" si="7"/>
        <v>0</v>
      </c>
      <c r="Q71">
        <f t="shared" si="8"/>
        <v>0</v>
      </c>
      <c r="R71">
        <f t="shared" si="9"/>
        <v>0</v>
      </c>
      <c r="S71">
        <f t="shared" si="10"/>
        <v>1</v>
      </c>
      <c r="T71">
        <f t="shared" si="11"/>
        <v>0</v>
      </c>
    </row>
    <row r="72" spans="1:20">
      <c r="A72" t="s">
        <v>39</v>
      </c>
      <c r="B72" s="2">
        <v>45717</v>
      </c>
      <c r="C72" t="s">
        <v>15</v>
      </c>
      <c r="D72" t="s">
        <v>18</v>
      </c>
      <c r="E72">
        <v>60571.82</v>
      </c>
      <c r="F72">
        <v>3193</v>
      </c>
      <c r="G72">
        <v>0.19700000000000001</v>
      </c>
      <c r="H72">
        <v>7</v>
      </c>
      <c r="I72">
        <v>99</v>
      </c>
      <c r="J72">
        <v>1.43</v>
      </c>
      <c r="K72">
        <v>0</v>
      </c>
      <c r="L72">
        <v>3.2</v>
      </c>
      <c r="M72">
        <v>605023.87</v>
      </c>
      <c r="N72">
        <v>98545.81</v>
      </c>
      <c r="O72">
        <f t="shared" si="6"/>
        <v>1</v>
      </c>
      <c r="P72">
        <f t="shared" si="7"/>
        <v>0</v>
      </c>
      <c r="Q72">
        <f t="shared" si="8"/>
        <v>0</v>
      </c>
      <c r="R72">
        <f t="shared" si="9"/>
        <v>0</v>
      </c>
      <c r="S72">
        <f t="shared" si="10"/>
        <v>1</v>
      </c>
      <c r="T72">
        <f t="shared" si="11"/>
        <v>0</v>
      </c>
    </row>
    <row r="73" spans="1:20">
      <c r="A73" t="s">
        <v>39</v>
      </c>
      <c r="B73" s="2">
        <v>45748</v>
      </c>
      <c r="C73" t="s">
        <v>15</v>
      </c>
      <c r="D73" t="s">
        <v>18</v>
      </c>
      <c r="E73">
        <v>55081.16</v>
      </c>
      <c r="F73">
        <v>5485</v>
      </c>
      <c r="G73">
        <v>3.5999999999999997E-2</v>
      </c>
      <c r="H73">
        <v>12</v>
      </c>
      <c r="I73">
        <v>88</v>
      </c>
      <c r="J73" s="4">
        <f>4.559045</f>
        <v>4.5590450000000002</v>
      </c>
      <c r="K73">
        <v>0</v>
      </c>
      <c r="L73">
        <v>3.5</v>
      </c>
      <c r="M73">
        <v>674774.09</v>
      </c>
      <c r="N73">
        <v>141917.59</v>
      </c>
      <c r="O73">
        <f t="shared" si="6"/>
        <v>1</v>
      </c>
      <c r="P73">
        <f t="shared" si="7"/>
        <v>0</v>
      </c>
      <c r="Q73">
        <f t="shared" si="8"/>
        <v>0</v>
      </c>
      <c r="R73">
        <f t="shared" si="9"/>
        <v>0</v>
      </c>
      <c r="S73">
        <f t="shared" si="10"/>
        <v>1</v>
      </c>
      <c r="T73">
        <f t="shared" si="11"/>
        <v>0</v>
      </c>
    </row>
    <row r="74" spans="1:20">
      <c r="A74" t="s">
        <v>40</v>
      </c>
      <c r="B74" s="2">
        <v>45658</v>
      </c>
      <c r="C74" t="s">
        <v>15</v>
      </c>
      <c r="D74" t="s">
        <v>16</v>
      </c>
      <c r="E74">
        <v>46201.46</v>
      </c>
      <c r="F74">
        <v>5918</v>
      </c>
      <c r="G74">
        <v>0.27700000000000002</v>
      </c>
      <c r="H74">
        <v>13</v>
      </c>
      <c r="I74">
        <v>78.8</v>
      </c>
      <c r="J74">
        <v>4.91</v>
      </c>
      <c r="K74">
        <v>0</v>
      </c>
      <c r="L74">
        <v>4.5</v>
      </c>
      <c r="M74">
        <v>616069.41</v>
      </c>
      <c r="N74">
        <v>54453.99</v>
      </c>
      <c r="O74">
        <f t="shared" si="6"/>
        <v>1</v>
      </c>
      <c r="P74">
        <f t="shared" si="7"/>
        <v>0</v>
      </c>
      <c r="Q74">
        <f t="shared" si="8"/>
        <v>0</v>
      </c>
      <c r="R74">
        <f t="shared" si="9"/>
        <v>1</v>
      </c>
      <c r="S74">
        <f t="shared" si="10"/>
        <v>0</v>
      </c>
      <c r="T74">
        <f t="shared" si="11"/>
        <v>0</v>
      </c>
    </row>
    <row r="75" spans="1:20">
      <c r="A75" t="s">
        <v>40</v>
      </c>
      <c r="B75" s="2">
        <v>45689</v>
      </c>
      <c r="C75" t="s">
        <v>15</v>
      </c>
      <c r="D75" t="s">
        <v>16</v>
      </c>
      <c r="E75">
        <v>53762.92</v>
      </c>
      <c r="F75">
        <v>6821</v>
      </c>
      <c r="G75">
        <v>6.6000000000000003E-2</v>
      </c>
      <c r="H75">
        <v>19</v>
      </c>
      <c r="I75">
        <v>94.6</v>
      </c>
      <c r="J75">
        <v>7.03</v>
      </c>
      <c r="K75">
        <v>0</v>
      </c>
      <c r="L75">
        <v>4.4000000000000004</v>
      </c>
      <c r="M75">
        <v>630829.93999999994</v>
      </c>
      <c r="N75">
        <v>117090.02</v>
      </c>
      <c r="O75">
        <f t="shared" si="6"/>
        <v>1</v>
      </c>
      <c r="P75">
        <f t="shared" si="7"/>
        <v>0</v>
      </c>
      <c r="Q75">
        <f t="shared" si="8"/>
        <v>0</v>
      </c>
      <c r="R75">
        <f t="shared" si="9"/>
        <v>1</v>
      </c>
      <c r="S75">
        <f t="shared" si="10"/>
        <v>0</v>
      </c>
      <c r="T75">
        <f t="shared" si="11"/>
        <v>0</v>
      </c>
    </row>
    <row r="76" spans="1:20">
      <c r="A76" t="s">
        <v>40</v>
      </c>
      <c r="B76" s="2">
        <v>45717</v>
      </c>
      <c r="C76" t="s">
        <v>15</v>
      </c>
      <c r="D76" t="s">
        <v>16</v>
      </c>
      <c r="E76">
        <v>70144.78</v>
      </c>
      <c r="F76">
        <v>6806</v>
      </c>
      <c r="G76">
        <v>0.17799999999999999</v>
      </c>
      <c r="H76">
        <v>20</v>
      </c>
      <c r="I76">
        <v>93.1</v>
      </c>
      <c r="J76">
        <v>0.28000000000000003</v>
      </c>
      <c r="K76">
        <v>1</v>
      </c>
      <c r="L76">
        <v>4.3</v>
      </c>
      <c r="M76">
        <v>788087.68</v>
      </c>
      <c r="N76">
        <v>116803.42</v>
      </c>
      <c r="O76">
        <f t="shared" si="6"/>
        <v>1</v>
      </c>
      <c r="P76">
        <f t="shared" si="7"/>
        <v>0</v>
      </c>
      <c r="Q76">
        <f t="shared" si="8"/>
        <v>0</v>
      </c>
      <c r="R76">
        <f t="shared" si="9"/>
        <v>1</v>
      </c>
      <c r="S76">
        <f t="shared" si="10"/>
        <v>0</v>
      </c>
      <c r="T76">
        <f t="shared" si="11"/>
        <v>0</v>
      </c>
    </row>
    <row r="77" spans="1:20">
      <c r="A77" t="s">
        <v>40</v>
      </c>
      <c r="B77" s="2">
        <v>45748</v>
      </c>
      <c r="C77" t="s">
        <v>15</v>
      </c>
      <c r="D77" t="s">
        <v>16</v>
      </c>
      <c r="E77">
        <v>58749.63</v>
      </c>
      <c r="F77">
        <v>8252</v>
      </c>
      <c r="G77">
        <v>0.20300000000000001</v>
      </c>
      <c r="H77">
        <v>20</v>
      </c>
      <c r="I77">
        <v>85.2</v>
      </c>
      <c r="J77">
        <v>3.61</v>
      </c>
      <c r="K77">
        <v>0</v>
      </c>
      <c r="L77">
        <v>4.5</v>
      </c>
      <c r="M77">
        <v>680840.36</v>
      </c>
      <c r="N77">
        <v>68007.679999999993</v>
      </c>
      <c r="O77">
        <f t="shared" si="6"/>
        <v>1</v>
      </c>
      <c r="P77">
        <f t="shared" si="7"/>
        <v>0</v>
      </c>
      <c r="Q77">
        <f t="shared" si="8"/>
        <v>0</v>
      </c>
      <c r="R77">
        <f t="shared" si="9"/>
        <v>1</v>
      </c>
      <c r="S77">
        <f t="shared" si="10"/>
        <v>0</v>
      </c>
      <c r="T77">
        <f t="shared" si="11"/>
        <v>0</v>
      </c>
    </row>
    <row r="78" spans="1:20">
      <c r="A78" t="s">
        <v>41</v>
      </c>
      <c r="B78" s="2">
        <v>45658</v>
      </c>
      <c r="C78" t="s">
        <v>24</v>
      </c>
      <c r="D78" t="s">
        <v>18</v>
      </c>
      <c r="E78">
        <v>56973.18</v>
      </c>
      <c r="F78">
        <v>6662</v>
      </c>
      <c r="G78">
        <v>0.1</v>
      </c>
      <c r="H78">
        <v>15</v>
      </c>
      <c r="I78">
        <v>77.7</v>
      </c>
      <c r="J78">
        <v>7.52</v>
      </c>
      <c r="K78">
        <v>1</v>
      </c>
      <c r="L78">
        <v>3.2</v>
      </c>
      <c r="M78">
        <v>643657.47</v>
      </c>
      <c r="N78">
        <v>87022.45</v>
      </c>
      <c r="O78">
        <f t="shared" si="6"/>
        <v>0</v>
      </c>
      <c r="P78">
        <f t="shared" si="7"/>
        <v>0</v>
      </c>
      <c r="Q78">
        <f t="shared" si="8"/>
        <v>1</v>
      </c>
      <c r="R78">
        <f t="shared" si="9"/>
        <v>0</v>
      </c>
      <c r="S78">
        <f t="shared" si="10"/>
        <v>1</v>
      </c>
      <c r="T78">
        <f t="shared" si="11"/>
        <v>0</v>
      </c>
    </row>
    <row r="79" spans="1:20">
      <c r="A79" t="s">
        <v>41</v>
      </c>
      <c r="B79" s="2">
        <v>45689</v>
      </c>
      <c r="C79" t="s">
        <v>24</v>
      </c>
      <c r="D79" t="s">
        <v>18</v>
      </c>
      <c r="E79">
        <v>54872.82</v>
      </c>
      <c r="F79">
        <v>5962</v>
      </c>
      <c r="G79">
        <v>6.4000000000000001E-2</v>
      </c>
      <c r="H79">
        <v>12</v>
      </c>
      <c r="I79">
        <v>85.4</v>
      </c>
      <c r="J79">
        <v>2.58</v>
      </c>
      <c r="K79">
        <v>0</v>
      </c>
      <c r="L79">
        <v>2.9</v>
      </c>
      <c r="M79">
        <v>691112.6</v>
      </c>
      <c r="N79">
        <v>109212.83</v>
      </c>
      <c r="O79">
        <f t="shared" si="6"/>
        <v>0</v>
      </c>
      <c r="P79">
        <f t="shared" si="7"/>
        <v>0</v>
      </c>
      <c r="Q79">
        <f t="shared" si="8"/>
        <v>1</v>
      </c>
      <c r="R79">
        <f t="shared" si="9"/>
        <v>0</v>
      </c>
      <c r="S79">
        <f t="shared" si="10"/>
        <v>1</v>
      </c>
      <c r="T79">
        <f t="shared" si="11"/>
        <v>0</v>
      </c>
    </row>
    <row r="80" spans="1:20">
      <c r="A80" t="s">
        <v>41</v>
      </c>
      <c r="B80" s="2">
        <v>45717</v>
      </c>
      <c r="C80" t="s">
        <v>24</v>
      </c>
      <c r="D80" t="s">
        <v>18</v>
      </c>
      <c r="E80">
        <v>80562.81</v>
      </c>
      <c r="F80">
        <v>7470</v>
      </c>
      <c r="G80">
        <v>0.17199999999999999</v>
      </c>
      <c r="H80">
        <v>16</v>
      </c>
      <c r="I80">
        <v>83.5</v>
      </c>
      <c r="J80">
        <v>2.29</v>
      </c>
      <c r="K80">
        <v>0</v>
      </c>
      <c r="L80">
        <v>3.3</v>
      </c>
      <c r="M80">
        <v>776922.17</v>
      </c>
      <c r="N80">
        <v>150701.93</v>
      </c>
      <c r="O80">
        <f t="shared" si="6"/>
        <v>0</v>
      </c>
      <c r="P80">
        <f t="shared" si="7"/>
        <v>0</v>
      </c>
      <c r="Q80">
        <f t="shared" si="8"/>
        <v>1</v>
      </c>
      <c r="R80">
        <f t="shared" si="9"/>
        <v>0</v>
      </c>
      <c r="S80">
        <f t="shared" si="10"/>
        <v>1</v>
      </c>
      <c r="T80">
        <f t="shared" si="11"/>
        <v>0</v>
      </c>
    </row>
    <row r="81" spans="1:20">
      <c r="A81" t="s">
        <v>41</v>
      </c>
      <c r="B81" s="2">
        <v>45748</v>
      </c>
      <c r="C81" t="s">
        <v>24</v>
      </c>
      <c r="D81" t="s">
        <v>18</v>
      </c>
      <c r="E81">
        <v>77999.899999999994</v>
      </c>
      <c r="F81">
        <v>5974</v>
      </c>
      <c r="G81">
        <v>0.252</v>
      </c>
      <c r="H81">
        <v>14</v>
      </c>
      <c r="I81">
        <v>81.3</v>
      </c>
      <c r="J81">
        <v>2.39</v>
      </c>
      <c r="K81">
        <v>0</v>
      </c>
      <c r="L81">
        <v>3.2</v>
      </c>
      <c r="M81">
        <v>636561.34</v>
      </c>
      <c r="N81">
        <v>93861.06</v>
      </c>
      <c r="O81">
        <f t="shared" si="6"/>
        <v>0</v>
      </c>
      <c r="P81">
        <f t="shared" si="7"/>
        <v>0</v>
      </c>
      <c r="Q81">
        <f t="shared" si="8"/>
        <v>1</v>
      </c>
      <c r="R81">
        <f t="shared" si="9"/>
        <v>0</v>
      </c>
      <c r="S81">
        <f t="shared" si="10"/>
        <v>1</v>
      </c>
      <c r="T81">
        <f t="shared" si="11"/>
        <v>0</v>
      </c>
    </row>
    <row r="82" spans="1:20">
      <c r="A82" t="s">
        <v>42</v>
      </c>
      <c r="B82" s="2">
        <v>45658</v>
      </c>
      <c r="C82" t="s">
        <v>27</v>
      </c>
      <c r="D82" t="s">
        <v>28</v>
      </c>
      <c r="E82">
        <v>60881.01</v>
      </c>
      <c r="F82">
        <v>5410</v>
      </c>
      <c r="G82">
        <v>0.17899999999999999</v>
      </c>
      <c r="H82">
        <v>15</v>
      </c>
      <c r="I82">
        <v>83.9</v>
      </c>
      <c r="J82">
        <v>5.24</v>
      </c>
      <c r="K82">
        <v>0</v>
      </c>
      <c r="L82">
        <v>4.5999999999999996</v>
      </c>
      <c r="M82">
        <v>621369.57999999996</v>
      </c>
      <c r="N82">
        <v>85493.64</v>
      </c>
      <c r="O82">
        <f t="shared" si="6"/>
        <v>0</v>
      </c>
      <c r="P82">
        <f t="shared" si="7"/>
        <v>0</v>
      </c>
      <c r="Q82">
        <f t="shared" si="8"/>
        <v>0</v>
      </c>
      <c r="R82">
        <f t="shared" si="9"/>
        <v>0</v>
      </c>
      <c r="S82">
        <f t="shared" si="10"/>
        <v>0</v>
      </c>
      <c r="T82">
        <f t="shared" si="11"/>
        <v>0</v>
      </c>
    </row>
    <row r="83" spans="1:20">
      <c r="A83" t="s">
        <v>42</v>
      </c>
      <c r="B83" s="2">
        <v>45689</v>
      </c>
      <c r="C83" t="s">
        <v>27</v>
      </c>
      <c r="D83" t="s">
        <v>28</v>
      </c>
      <c r="E83">
        <v>60628.38</v>
      </c>
      <c r="F83">
        <v>4451</v>
      </c>
      <c r="G83">
        <v>9.5000000000000001E-2</v>
      </c>
      <c r="H83">
        <v>10</v>
      </c>
      <c r="I83">
        <v>89.6</v>
      </c>
      <c r="J83">
        <v>3.17</v>
      </c>
      <c r="K83">
        <v>0</v>
      </c>
      <c r="L83">
        <v>4.5999999999999996</v>
      </c>
      <c r="M83">
        <v>682208.01</v>
      </c>
      <c r="N83">
        <v>110318.84</v>
      </c>
      <c r="O83">
        <f t="shared" si="6"/>
        <v>0</v>
      </c>
      <c r="P83">
        <f t="shared" si="7"/>
        <v>0</v>
      </c>
      <c r="Q83">
        <f t="shared" si="8"/>
        <v>0</v>
      </c>
      <c r="R83">
        <f t="shared" si="9"/>
        <v>0</v>
      </c>
      <c r="S83">
        <f t="shared" si="10"/>
        <v>0</v>
      </c>
      <c r="T83">
        <f t="shared" si="11"/>
        <v>0</v>
      </c>
    </row>
    <row r="84" spans="1:20">
      <c r="A84" t="s">
        <v>42</v>
      </c>
      <c r="B84" s="2">
        <v>45717</v>
      </c>
      <c r="C84" t="s">
        <v>27</v>
      </c>
      <c r="D84" t="s">
        <v>28</v>
      </c>
      <c r="E84">
        <v>72731.14</v>
      </c>
      <c r="F84">
        <v>4644</v>
      </c>
      <c r="G84">
        <v>8.4000000000000005E-2</v>
      </c>
      <c r="H84">
        <v>15</v>
      </c>
      <c r="I84">
        <v>87.1</v>
      </c>
      <c r="J84">
        <v>2.66</v>
      </c>
      <c r="K84">
        <v>0</v>
      </c>
      <c r="L84">
        <v>4.5999999999999996</v>
      </c>
      <c r="M84">
        <v>727241.86</v>
      </c>
      <c r="N84">
        <v>155810.29999999999</v>
      </c>
      <c r="O84">
        <f t="shared" si="6"/>
        <v>0</v>
      </c>
      <c r="P84">
        <f t="shared" si="7"/>
        <v>0</v>
      </c>
      <c r="Q84">
        <f t="shared" si="8"/>
        <v>0</v>
      </c>
      <c r="R84">
        <f t="shared" si="9"/>
        <v>0</v>
      </c>
      <c r="S84">
        <f t="shared" si="10"/>
        <v>0</v>
      </c>
      <c r="T84">
        <f t="shared" si="11"/>
        <v>0</v>
      </c>
    </row>
    <row r="85" spans="1:20">
      <c r="A85" t="s">
        <v>42</v>
      </c>
      <c r="B85" s="2">
        <v>45748</v>
      </c>
      <c r="C85" t="s">
        <v>27</v>
      </c>
      <c r="D85" t="s">
        <v>28</v>
      </c>
      <c r="E85">
        <v>36475.71</v>
      </c>
      <c r="F85">
        <v>3559</v>
      </c>
      <c r="G85">
        <v>0.03</v>
      </c>
      <c r="H85">
        <v>8</v>
      </c>
      <c r="I85">
        <v>83.6</v>
      </c>
      <c r="J85">
        <v>1.41</v>
      </c>
      <c r="K85">
        <v>0</v>
      </c>
      <c r="L85">
        <v>4.2</v>
      </c>
      <c r="M85">
        <v>569100.78</v>
      </c>
      <c r="N85">
        <v>104808.78</v>
      </c>
      <c r="O85">
        <f t="shared" si="6"/>
        <v>0</v>
      </c>
      <c r="P85">
        <f t="shared" si="7"/>
        <v>0</v>
      </c>
      <c r="Q85">
        <f t="shared" si="8"/>
        <v>0</v>
      </c>
      <c r="R85">
        <f t="shared" si="9"/>
        <v>0</v>
      </c>
      <c r="S85">
        <f t="shared" si="10"/>
        <v>0</v>
      </c>
      <c r="T85">
        <f t="shared" si="11"/>
        <v>0</v>
      </c>
    </row>
    <row r="86" spans="1:20">
      <c r="A86" t="s">
        <v>43</v>
      </c>
      <c r="B86" s="2">
        <v>45658</v>
      </c>
      <c r="C86" t="s">
        <v>27</v>
      </c>
      <c r="D86" t="s">
        <v>18</v>
      </c>
      <c r="E86">
        <v>55388.11</v>
      </c>
      <c r="F86">
        <v>3091</v>
      </c>
      <c r="G86">
        <v>0.108</v>
      </c>
      <c r="H86">
        <v>7</v>
      </c>
      <c r="I86">
        <v>85.4</v>
      </c>
      <c r="J86">
        <v>7.34</v>
      </c>
      <c r="K86">
        <v>0</v>
      </c>
      <c r="L86">
        <v>4.9000000000000004</v>
      </c>
      <c r="M86">
        <v>574436.29</v>
      </c>
      <c r="N86">
        <v>80271.990000000005</v>
      </c>
      <c r="O86">
        <f t="shared" si="6"/>
        <v>0</v>
      </c>
      <c r="P86">
        <f t="shared" si="7"/>
        <v>0</v>
      </c>
      <c r="Q86">
        <f t="shared" si="8"/>
        <v>0</v>
      </c>
      <c r="R86">
        <f t="shared" si="9"/>
        <v>0</v>
      </c>
      <c r="S86">
        <f t="shared" si="10"/>
        <v>1</v>
      </c>
      <c r="T86">
        <f t="shared" si="11"/>
        <v>0</v>
      </c>
    </row>
    <row r="87" spans="1:20">
      <c r="A87" t="s">
        <v>43</v>
      </c>
      <c r="B87" s="2">
        <v>45689</v>
      </c>
      <c r="C87" t="s">
        <v>27</v>
      </c>
      <c r="D87" t="s">
        <v>18</v>
      </c>
      <c r="E87">
        <v>88443.77</v>
      </c>
      <c r="F87">
        <v>4004</v>
      </c>
      <c r="G87">
        <v>0.20599999999999999</v>
      </c>
      <c r="H87">
        <v>11</v>
      </c>
      <c r="I87">
        <v>91.9</v>
      </c>
      <c r="J87">
        <v>5.95</v>
      </c>
      <c r="K87">
        <v>0</v>
      </c>
      <c r="L87">
        <f>3.924</f>
        <v>3.9239999999999999</v>
      </c>
      <c r="M87">
        <v>611766.72</v>
      </c>
      <c r="N87">
        <v>88275.61</v>
      </c>
      <c r="O87">
        <f t="shared" si="6"/>
        <v>0</v>
      </c>
      <c r="P87">
        <f t="shared" si="7"/>
        <v>0</v>
      </c>
      <c r="Q87">
        <f t="shared" si="8"/>
        <v>0</v>
      </c>
      <c r="R87">
        <f t="shared" si="9"/>
        <v>0</v>
      </c>
      <c r="S87">
        <f t="shared" si="10"/>
        <v>1</v>
      </c>
      <c r="T87">
        <f t="shared" si="11"/>
        <v>0</v>
      </c>
    </row>
    <row r="88" spans="1:20">
      <c r="A88" t="s">
        <v>43</v>
      </c>
      <c r="B88" s="2">
        <v>45717</v>
      </c>
      <c r="C88" t="s">
        <v>27</v>
      </c>
      <c r="D88" t="s">
        <v>18</v>
      </c>
      <c r="E88">
        <v>78231.91</v>
      </c>
      <c r="F88">
        <v>3788</v>
      </c>
      <c r="G88">
        <v>5.8999999999999997E-2</v>
      </c>
      <c r="H88">
        <v>11</v>
      </c>
      <c r="I88">
        <v>88.5</v>
      </c>
      <c r="J88">
        <v>15.51</v>
      </c>
      <c r="K88">
        <v>0</v>
      </c>
      <c r="L88">
        <v>4.3</v>
      </c>
      <c r="M88">
        <v>614596.31999999995</v>
      </c>
      <c r="N88">
        <v>131199.41</v>
      </c>
      <c r="O88">
        <f t="shared" si="6"/>
        <v>0</v>
      </c>
      <c r="P88">
        <f t="shared" si="7"/>
        <v>0</v>
      </c>
      <c r="Q88">
        <f t="shared" si="8"/>
        <v>0</v>
      </c>
      <c r="R88">
        <f t="shared" si="9"/>
        <v>0</v>
      </c>
      <c r="S88">
        <f t="shared" si="10"/>
        <v>1</v>
      </c>
      <c r="T88">
        <f t="shared" si="11"/>
        <v>0</v>
      </c>
    </row>
    <row r="89" spans="1:20">
      <c r="A89" t="s">
        <v>43</v>
      </c>
      <c r="B89" s="2">
        <v>45748</v>
      </c>
      <c r="C89" t="s">
        <v>27</v>
      </c>
      <c r="D89" t="s">
        <v>18</v>
      </c>
      <c r="E89">
        <v>18996.32</v>
      </c>
      <c r="F89">
        <v>1260</v>
      </c>
      <c r="G89">
        <v>0.14499999999999999</v>
      </c>
      <c r="H89">
        <v>9</v>
      </c>
      <c r="I89">
        <v>86.4</v>
      </c>
      <c r="J89">
        <v>4.3099999999999996</v>
      </c>
      <c r="K89">
        <v>0</v>
      </c>
      <c r="L89">
        <v>4.5999999999999996</v>
      </c>
      <c r="M89">
        <v>450711.92</v>
      </c>
      <c r="N89">
        <v>90043.76</v>
      </c>
      <c r="O89">
        <f t="shared" si="6"/>
        <v>0</v>
      </c>
      <c r="P89">
        <f t="shared" si="7"/>
        <v>0</v>
      </c>
      <c r="Q89">
        <f t="shared" si="8"/>
        <v>0</v>
      </c>
      <c r="R89">
        <f t="shared" si="9"/>
        <v>0</v>
      </c>
      <c r="S89">
        <f t="shared" si="10"/>
        <v>1</v>
      </c>
      <c r="T89">
        <f t="shared" si="11"/>
        <v>0</v>
      </c>
    </row>
    <row r="90" spans="1:20">
      <c r="A90" t="s">
        <v>44</v>
      </c>
      <c r="B90" s="2">
        <v>45658</v>
      </c>
      <c r="C90" t="s">
        <v>24</v>
      </c>
      <c r="D90" t="s">
        <v>28</v>
      </c>
      <c r="E90">
        <v>50517.94</v>
      </c>
      <c r="F90">
        <v>7024</v>
      </c>
      <c r="G90">
        <v>2.9000000000000001E-2</v>
      </c>
      <c r="H90">
        <v>18</v>
      </c>
      <c r="I90">
        <v>79.2</v>
      </c>
      <c r="J90">
        <v>6.61</v>
      </c>
      <c r="K90">
        <v>1</v>
      </c>
      <c r="L90">
        <v>4.0999999999999996</v>
      </c>
      <c r="M90">
        <v>711213.46</v>
      </c>
      <c r="N90">
        <v>105863.26</v>
      </c>
      <c r="O90">
        <f t="shared" si="6"/>
        <v>0</v>
      </c>
      <c r="P90">
        <f t="shared" si="7"/>
        <v>0</v>
      </c>
      <c r="Q90">
        <f t="shared" si="8"/>
        <v>1</v>
      </c>
      <c r="R90">
        <f t="shared" si="9"/>
        <v>0</v>
      </c>
      <c r="S90">
        <f t="shared" si="10"/>
        <v>0</v>
      </c>
      <c r="T90">
        <f t="shared" si="11"/>
        <v>0</v>
      </c>
    </row>
    <row r="91" spans="1:20">
      <c r="A91" t="s">
        <v>44</v>
      </c>
      <c r="B91" s="2">
        <v>45689</v>
      </c>
      <c r="C91" t="s">
        <v>24</v>
      </c>
      <c r="D91" t="s">
        <v>28</v>
      </c>
      <c r="E91">
        <v>141540.29</v>
      </c>
      <c r="F91">
        <v>5400</v>
      </c>
      <c r="G91">
        <v>1.2999999999999999E-2</v>
      </c>
      <c r="H91">
        <v>12</v>
      </c>
      <c r="I91">
        <v>87</v>
      </c>
      <c r="J91">
        <v>4.26</v>
      </c>
      <c r="K91">
        <v>0</v>
      </c>
      <c r="L91">
        <v>4.5</v>
      </c>
      <c r="M91">
        <v>627171.9</v>
      </c>
      <c r="N91">
        <v>105772.75</v>
      </c>
      <c r="O91">
        <f t="shared" si="6"/>
        <v>0</v>
      </c>
      <c r="P91">
        <f t="shared" si="7"/>
        <v>0</v>
      </c>
      <c r="Q91">
        <f t="shared" si="8"/>
        <v>1</v>
      </c>
      <c r="R91">
        <f t="shared" si="9"/>
        <v>0</v>
      </c>
      <c r="S91">
        <f t="shared" si="10"/>
        <v>0</v>
      </c>
      <c r="T91">
        <f t="shared" si="11"/>
        <v>0</v>
      </c>
    </row>
    <row r="92" spans="1:20">
      <c r="A92" t="s">
        <v>44</v>
      </c>
      <c r="B92" s="2">
        <v>45717</v>
      </c>
      <c r="C92" t="s">
        <v>24</v>
      </c>
      <c r="D92" t="s">
        <v>28</v>
      </c>
      <c r="E92">
        <v>82116.19</v>
      </c>
      <c r="F92">
        <v>5988</v>
      </c>
      <c r="G92">
        <v>0.04</v>
      </c>
      <c r="H92">
        <v>17</v>
      </c>
      <c r="I92">
        <v>91.8</v>
      </c>
      <c r="J92">
        <v>5.75</v>
      </c>
      <c r="K92">
        <v>0</v>
      </c>
      <c r="L92">
        <v>4.7</v>
      </c>
      <c r="M92">
        <v>739852.58</v>
      </c>
      <c r="N92">
        <v>129386.43</v>
      </c>
      <c r="O92">
        <f t="shared" si="6"/>
        <v>0</v>
      </c>
      <c r="P92">
        <f t="shared" si="7"/>
        <v>0</v>
      </c>
      <c r="Q92">
        <f t="shared" si="8"/>
        <v>1</v>
      </c>
      <c r="R92">
        <f t="shared" si="9"/>
        <v>0</v>
      </c>
      <c r="S92">
        <f t="shared" si="10"/>
        <v>0</v>
      </c>
      <c r="T92">
        <f t="shared" si="11"/>
        <v>0</v>
      </c>
    </row>
    <row r="93" spans="1:20">
      <c r="A93" t="s">
        <v>44</v>
      </c>
      <c r="B93" s="2">
        <v>45748</v>
      </c>
      <c r="C93" t="s">
        <v>24</v>
      </c>
      <c r="D93" t="s">
        <v>28</v>
      </c>
      <c r="E93">
        <v>31207.51</v>
      </c>
      <c r="F93">
        <v>3701</v>
      </c>
      <c r="G93">
        <v>4.2999999999999997E-2</v>
      </c>
      <c r="H93">
        <v>11</v>
      </c>
      <c r="I93">
        <v>84.7</v>
      </c>
      <c r="J93">
        <v>0.33</v>
      </c>
      <c r="K93">
        <v>0</v>
      </c>
      <c r="L93">
        <v>4.3</v>
      </c>
      <c r="M93">
        <v>586307.22</v>
      </c>
      <c r="N93">
        <v>73927.850000000006</v>
      </c>
      <c r="O93">
        <f t="shared" si="6"/>
        <v>0</v>
      </c>
      <c r="P93">
        <f t="shared" si="7"/>
        <v>0</v>
      </c>
      <c r="Q93">
        <f t="shared" si="8"/>
        <v>1</v>
      </c>
      <c r="R93">
        <f t="shared" si="9"/>
        <v>0</v>
      </c>
      <c r="S93">
        <f t="shared" si="10"/>
        <v>0</v>
      </c>
      <c r="T93">
        <f t="shared" si="11"/>
        <v>0</v>
      </c>
    </row>
    <row r="94" spans="1:20">
      <c r="A94" t="s">
        <v>45</v>
      </c>
      <c r="B94" s="2">
        <v>45658</v>
      </c>
      <c r="C94" t="s">
        <v>27</v>
      </c>
      <c r="D94" t="s">
        <v>16</v>
      </c>
      <c r="E94">
        <v>38966.589999999997</v>
      </c>
      <c r="F94">
        <v>4509</v>
      </c>
      <c r="G94">
        <v>0.19400000000000001</v>
      </c>
      <c r="H94">
        <v>14</v>
      </c>
      <c r="I94">
        <v>91.1</v>
      </c>
      <c r="J94">
        <v>2.92</v>
      </c>
      <c r="K94">
        <v>0</v>
      </c>
      <c r="L94">
        <v>4.5999999999999996</v>
      </c>
      <c r="M94">
        <v>585937.48</v>
      </c>
      <c r="N94">
        <v>82624.2</v>
      </c>
      <c r="O94">
        <f t="shared" si="6"/>
        <v>0</v>
      </c>
      <c r="P94">
        <f t="shared" si="7"/>
        <v>0</v>
      </c>
      <c r="Q94">
        <f t="shared" si="8"/>
        <v>0</v>
      </c>
      <c r="R94">
        <f t="shared" si="9"/>
        <v>1</v>
      </c>
      <c r="S94">
        <f t="shared" si="10"/>
        <v>0</v>
      </c>
      <c r="T94">
        <f t="shared" si="11"/>
        <v>0</v>
      </c>
    </row>
    <row r="95" spans="1:20">
      <c r="A95" t="s">
        <v>45</v>
      </c>
      <c r="B95" s="2">
        <v>45689</v>
      </c>
      <c r="C95" t="s">
        <v>27</v>
      </c>
      <c r="D95" t="s">
        <v>16</v>
      </c>
      <c r="E95">
        <v>67439.3</v>
      </c>
      <c r="F95">
        <v>6477</v>
      </c>
      <c r="G95">
        <v>0</v>
      </c>
      <c r="H95">
        <v>16</v>
      </c>
      <c r="I95">
        <v>90.9</v>
      </c>
      <c r="J95">
        <v>1.64</v>
      </c>
      <c r="K95">
        <v>0</v>
      </c>
      <c r="L95">
        <v>4.5</v>
      </c>
      <c r="M95">
        <v>753473.55</v>
      </c>
      <c r="N95">
        <v>151527.22</v>
      </c>
      <c r="O95">
        <f t="shared" si="6"/>
        <v>0</v>
      </c>
      <c r="P95">
        <f t="shared" si="7"/>
        <v>0</v>
      </c>
      <c r="Q95">
        <f t="shared" si="8"/>
        <v>0</v>
      </c>
      <c r="R95">
        <f t="shared" si="9"/>
        <v>1</v>
      </c>
      <c r="S95">
        <f t="shared" si="10"/>
        <v>0</v>
      </c>
      <c r="T95">
        <f t="shared" si="11"/>
        <v>0</v>
      </c>
    </row>
    <row r="96" spans="1:20">
      <c r="A96" t="s">
        <v>45</v>
      </c>
      <c r="B96" s="2">
        <v>45717</v>
      </c>
      <c r="C96" t="s">
        <v>27</v>
      </c>
      <c r="D96" t="s">
        <v>16</v>
      </c>
      <c r="E96">
        <v>86421.88</v>
      </c>
      <c r="F96">
        <v>7970</v>
      </c>
      <c r="G96">
        <v>7.2999999999999995E-2</v>
      </c>
      <c r="H96">
        <v>17</v>
      </c>
      <c r="I96">
        <v>91.3</v>
      </c>
      <c r="J96">
        <v>0.8</v>
      </c>
      <c r="K96">
        <v>0</v>
      </c>
      <c r="L96">
        <v>5</v>
      </c>
      <c r="M96">
        <v>838250.32</v>
      </c>
      <c r="N96">
        <v>122939.34</v>
      </c>
      <c r="O96">
        <f t="shared" si="6"/>
        <v>0</v>
      </c>
      <c r="P96">
        <f t="shared" si="7"/>
        <v>0</v>
      </c>
      <c r="Q96">
        <f t="shared" si="8"/>
        <v>0</v>
      </c>
      <c r="R96">
        <f t="shared" si="9"/>
        <v>1</v>
      </c>
      <c r="S96">
        <f t="shared" si="10"/>
        <v>0</v>
      </c>
      <c r="T96">
        <f t="shared" si="11"/>
        <v>0</v>
      </c>
    </row>
    <row r="97" spans="1:20">
      <c r="A97" t="s">
        <v>45</v>
      </c>
      <c r="B97" s="2">
        <v>45748</v>
      </c>
      <c r="C97" t="s">
        <v>27</v>
      </c>
      <c r="D97" t="s">
        <v>16</v>
      </c>
      <c r="E97">
        <v>9534.65</v>
      </c>
      <c r="F97">
        <v>6057</v>
      </c>
      <c r="G97">
        <v>7.3999999999999996E-2</v>
      </c>
      <c r="H97">
        <v>15</v>
      </c>
      <c r="I97">
        <v>94.1</v>
      </c>
      <c r="J97">
        <v>5.79</v>
      </c>
      <c r="K97">
        <v>0</v>
      </c>
      <c r="L97">
        <v>4.5</v>
      </c>
      <c r="M97">
        <v>607898.12</v>
      </c>
      <c r="N97">
        <v>135404.85</v>
      </c>
      <c r="O97">
        <f t="shared" si="6"/>
        <v>0</v>
      </c>
      <c r="P97">
        <f t="shared" si="7"/>
        <v>0</v>
      </c>
      <c r="Q97">
        <f t="shared" si="8"/>
        <v>0</v>
      </c>
      <c r="R97">
        <f t="shared" si="9"/>
        <v>1</v>
      </c>
      <c r="S97">
        <f t="shared" si="10"/>
        <v>0</v>
      </c>
      <c r="T97">
        <f t="shared" si="11"/>
        <v>0</v>
      </c>
    </row>
    <row r="98" spans="1:20">
      <c r="A98" t="s">
        <v>46</v>
      </c>
      <c r="B98" s="2">
        <v>45658</v>
      </c>
      <c r="C98" t="s">
        <v>27</v>
      </c>
      <c r="D98" t="s">
        <v>28</v>
      </c>
      <c r="E98">
        <v>61132.07</v>
      </c>
      <c r="F98">
        <v>6394</v>
      </c>
      <c r="G98">
        <v>0.16300000000000001</v>
      </c>
      <c r="H98">
        <v>19</v>
      </c>
      <c r="I98">
        <v>91</v>
      </c>
      <c r="J98">
        <v>19.600000000000001</v>
      </c>
      <c r="K98">
        <v>0</v>
      </c>
      <c r="L98">
        <v>4.4000000000000004</v>
      </c>
      <c r="M98">
        <v>691113.62</v>
      </c>
      <c r="N98">
        <v>135145.44</v>
      </c>
      <c r="O98">
        <f t="shared" si="6"/>
        <v>0</v>
      </c>
      <c r="P98">
        <f t="shared" si="7"/>
        <v>0</v>
      </c>
      <c r="Q98">
        <f t="shared" si="8"/>
        <v>0</v>
      </c>
      <c r="R98">
        <f t="shared" si="9"/>
        <v>0</v>
      </c>
      <c r="S98">
        <f t="shared" si="10"/>
        <v>0</v>
      </c>
      <c r="T98">
        <f t="shared" si="11"/>
        <v>0</v>
      </c>
    </row>
    <row r="99" spans="1:20">
      <c r="A99" t="s">
        <v>46</v>
      </c>
      <c r="B99" s="2">
        <v>45689</v>
      </c>
      <c r="C99" t="s">
        <v>27</v>
      </c>
      <c r="D99" t="s">
        <v>28</v>
      </c>
      <c r="E99">
        <v>78839.39</v>
      </c>
      <c r="F99">
        <v>5150</v>
      </c>
      <c r="G99">
        <v>0.17100000000000001</v>
      </c>
      <c r="H99">
        <v>13</v>
      </c>
      <c r="I99">
        <v>85.8</v>
      </c>
      <c r="J99">
        <v>7.57</v>
      </c>
      <c r="K99">
        <v>0</v>
      </c>
      <c r="L99">
        <v>4.3</v>
      </c>
      <c r="M99">
        <v>735509.4</v>
      </c>
      <c r="N99">
        <v>83895.96</v>
      </c>
      <c r="O99">
        <f t="shared" si="6"/>
        <v>0</v>
      </c>
      <c r="P99">
        <f t="shared" si="7"/>
        <v>0</v>
      </c>
      <c r="Q99">
        <f t="shared" si="8"/>
        <v>0</v>
      </c>
      <c r="R99">
        <f t="shared" si="9"/>
        <v>0</v>
      </c>
      <c r="S99">
        <f t="shared" si="10"/>
        <v>0</v>
      </c>
      <c r="T99">
        <f t="shared" si="11"/>
        <v>0</v>
      </c>
    </row>
    <row r="100" spans="1:20">
      <c r="A100" t="s">
        <v>46</v>
      </c>
      <c r="B100" s="2">
        <v>45717</v>
      </c>
      <c r="C100" t="s">
        <v>27</v>
      </c>
      <c r="D100" t="s">
        <v>28</v>
      </c>
      <c r="E100">
        <v>38752.800000000003</v>
      </c>
      <c r="F100">
        <v>4712</v>
      </c>
      <c r="G100">
        <v>7.4999999999999997E-2</v>
      </c>
      <c r="H100">
        <v>15</v>
      </c>
      <c r="I100">
        <v>89.7</v>
      </c>
      <c r="J100">
        <v>4.5590450000000002</v>
      </c>
      <c r="K100">
        <v>0</v>
      </c>
      <c r="L100">
        <v>4.3</v>
      </c>
      <c r="M100">
        <v>605775.32999999996</v>
      </c>
      <c r="N100">
        <v>107194.6</v>
      </c>
      <c r="O100">
        <f t="shared" si="6"/>
        <v>0</v>
      </c>
      <c r="P100">
        <f t="shared" si="7"/>
        <v>0</v>
      </c>
      <c r="Q100">
        <f t="shared" si="8"/>
        <v>0</v>
      </c>
      <c r="R100">
        <f t="shared" si="9"/>
        <v>0</v>
      </c>
      <c r="S100">
        <f t="shared" si="10"/>
        <v>0</v>
      </c>
      <c r="T100">
        <f t="shared" si="11"/>
        <v>0</v>
      </c>
    </row>
    <row r="101" spans="1:20">
      <c r="A101" t="s">
        <v>46</v>
      </c>
      <c r="B101" s="2">
        <v>45748</v>
      </c>
      <c r="C101" t="s">
        <v>27</v>
      </c>
      <c r="D101" t="s">
        <v>28</v>
      </c>
      <c r="E101">
        <v>55101.1</v>
      </c>
      <c r="F101">
        <v>5281</v>
      </c>
      <c r="G101">
        <v>0.189</v>
      </c>
      <c r="H101">
        <v>11</v>
      </c>
      <c r="I101">
        <v>91</v>
      </c>
      <c r="J101">
        <v>2.7</v>
      </c>
      <c r="K101">
        <v>0</v>
      </c>
      <c r="L101">
        <v>4.4000000000000004</v>
      </c>
      <c r="M101">
        <v>675177.68</v>
      </c>
      <c r="N101">
        <v>105628.68</v>
      </c>
      <c r="O101">
        <f t="shared" si="6"/>
        <v>0</v>
      </c>
      <c r="P101">
        <f t="shared" si="7"/>
        <v>0</v>
      </c>
      <c r="Q101">
        <f t="shared" si="8"/>
        <v>0</v>
      </c>
      <c r="R101">
        <f t="shared" si="9"/>
        <v>0</v>
      </c>
      <c r="S101">
        <f t="shared" si="10"/>
        <v>0</v>
      </c>
      <c r="T101">
        <f t="shared" si="11"/>
        <v>0</v>
      </c>
    </row>
    <row r="102" spans="1:20">
      <c r="A102" t="s">
        <v>47</v>
      </c>
      <c r="B102" s="2">
        <v>45658</v>
      </c>
      <c r="C102" t="s">
        <v>15</v>
      </c>
      <c r="D102" t="s">
        <v>28</v>
      </c>
      <c r="E102">
        <v>53084.76</v>
      </c>
      <c r="F102">
        <v>3642</v>
      </c>
      <c r="G102">
        <v>0.15</v>
      </c>
      <c r="H102">
        <v>12</v>
      </c>
      <c r="I102">
        <v>91.4</v>
      </c>
      <c r="J102">
        <v>0.2</v>
      </c>
      <c r="K102">
        <v>0</v>
      </c>
      <c r="L102">
        <v>4.4000000000000004</v>
      </c>
      <c r="M102">
        <v>635181.35</v>
      </c>
      <c r="N102">
        <v>83341.25</v>
      </c>
      <c r="O102">
        <f t="shared" si="6"/>
        <v>1</v>
      </c>
      <c r="P102">
        <f t="shared" si="7"/>
        <v>0</v>
      </c>
      <c r="Q102">
        <f t="shared" si="8"/>
        <v>0</v>
      </c>
      <c r="R102">
        <f t="shared" si="9"/>
        <v>0</v>
      </c>
      <c r="S102">
        <f t="shared" si="10"/>
        <v>0</v>
      </c>
      <c r="T102">
        <f t="shared" si="11"/>
        <v>0</v>
      </c>
    </row>
    <row r="103" spans="1:20">
      <c r="A103" t="s">
        <v>47</v>
      </c>
      <c r="B103" s="2">
        <v>45689</v>
      </c>
      <c r="C103" t="s">
        <v>15</v>
      </c>
      <c r="D103" t="s">
        <v>28</v>
      </c>
      <c r="E103">
        <v>63101.59</v>
      </c>
      <c r="F103">
        <v>4373</v>
      </c>
      <c r="G103">
        <v>0.17299999999999999</v>
      </c>
      <c r="H103">
        <v>14</v>
      </c>
      <c r="I103">
        <v>90.4</v>
      </c>
      <c r="J103">
        <v>7.87</v>
      </c>
      <c r="K103">
        <v>0</v>
      </c>
      <c r="L103">
        <v>4.7</v>
      </c>
      <c r="M103">
        <v>586626.93999999994</v>
      </c>
      <c r="N103">
        <v>86498.55</v>
      </c>
      <c r="O103">
        <f t="shared" si="6"/>
        <v>1</v>
      </c>
      <c r="P103">
        <f t="shared" si="7"/>
        <v>0</v>
      </c>
      <c r="Q103">
        <f t="shared" si="8"/>
        <v>0</v>
      </c>
      <c r="R103">
        <f t="shared" si="9"/>
        <v>0</v>
      </c>
      <c r="S103">
        <f t="shared" si="10"/>
        <v>0</v>
      </c>
      <c r="T103">
        <f t="shared" si="11"/>
        <v>0</v>
      </c>
    </row>
    <row r="104" spans="1:20">
      <c r="A104" t="s">
        <v>47</v>
      </c>
      <c r="B104" s="2">
        <v>45717</v>
      </c>
      <c r="C104" t="s">
        <v>15</v>
      </c>
      <c r="D104" t="s">
        <v>28</v>
      </c>
      <c r="E104">
        <v>90084.4</v>
      </c>
      <c r="F104">
        <v>6832</v>
      </c>
      <c r="G104">
        <v>0.185</v>
      </c>
      <c r="H104">
        <v>14</v>
      </c>
      <c r="I104">
        <v>80.5</v>
      </c>
      <c r="J104">
        <v>0.77</v>
      </c>
      <c r="K104">
        <v>1</v>
      </c>
      <c r="L104">
        <v>4.4000000000000004</v>
      </c>
      <c r="M104">
        <v>740102.64</v>
      </c>
      <c r="N104">
        <v>114299.07</v>
      </c>
      <c r="O104">
        <f t="shared" si="6"/>
        <v>1</v>
      </c>
      <c r="P104">
        <f t="shared" si="7"/>
        <v>0</v>
      </c>
      <c r="Q104">
        <f t="shared" si="8"/>
        <v>0</v>
      </c>
      <c r="R104">
        <f t="shared" si="9"/>
        <v>0</v>
      </c>
      <c r="S104">
        <f t="shared" si="10"/>
        <v>0</v>
      </c>
      <c r="T104">
        <f t="shared" si="11"/>
        <v>0</v>
      </c>
    </row>
    <row r="105" spans="1:20">
      <c r="A105" t="s">
        <v>47</v>
      </c>
      <c r="B105" s="2">
        <v>45748</v>
      </c>
      <c r="C105" t="s">
        <v>15</v>
      </c>
      <c r="D105" t="s">
        <v>28</v>
      </c>
      <c r="E105">
        <v>32266.639999999999</v>
      </c>
      <c r="F105">
        <v>2414</v>
      </c>
      <c r="G105">
        <v>0.08</v>
      </c>
      <c r="H105">
        <v>7</v>
      </c>
      <c r="I105">
        <v>92.1</v>
      </c>
      <c r="J105">
        <v>1.48</v>
      </c>
      <c r="K105">
        <v>0</v>
      </c>
      <c r="L105">
        <v>5</v>
      </c>
      <c r="M105">
        <v>625514.04</v>
      </c>
      <c r="N105">
        <v>120685.08</v>
      </c>
      <c r="O105">
        <f t="shared" si="6"/>
        <v>1</v>
      </c>
      <c r="P105">
        <f t="shared" si="7"/>
        <v>0</v>
      </c>
      <c r="Q105">
        <f t="shared" si="8"/>
        <v>0</v>
      </c>
      <c r="R105">
        <f t="shared" si="9"/>
        <v>0</v>
      </c>
      <c r="S105">
        <f t="shared" si="10"/>
        <v>0</v>
      </c>
      <c r="T105">
        <f t="shared" si="11"/>
        <v>0</v>
      </c>
    </row>
    <row r="106" spans="1:20">
      <c r="A106" t="s">
        <v>48</v>
      </c>
      <c r="B106" s="2">
        <v>45658</v>
      </c>
      <c r="C106" t="s">
        <v>27</v>
      </c>
      <c r="D106" t="s">
        <v>18</v>
      </c>
      <c r="E106">
        <v>57919.07</v>
      </c>
      <c r="F106">
        <v>7374</v>
      </c>
      <c r="G106">
        <v>0.10299999999999999</v>
      </c>
      <c r="H106">
        <v>21</v>
      </c>
      <c r="I106">
        <v>82.3</v>
      </c>
      <c r="J106">
        <v>2.87</v>
      </c>
      <c r="K106">
        <v>0</v>
      </c>
      <c r="L106">
        <v>2.9</v>
      </c>
      <c r="M106">
        <v>727227.2</v>
      </c>
      <c r="N106">
        <v>121292.01</v>
      </c>
      <c r="O106">
        <f t="shared" si="6"/>
        <v>0</v>
      </c>
      <c r="P106">
        <f t="shared" si="7"/>
        <v>0</v>
      </c>
      <c r="Q106">
        <f t="shared" si="8"/>
        <v>0</v>
      </c>
      <c r="R106">
        <f t="shared" si="9"/>
        <v>0</v>
      </c>
      <c r="S106">
        <f t="shared" si="10"/>
        <v>1</v>
      </c>
      <c r="T106">
        <f t="shared" si="11"/>
        <v>0</v>
      </c>
    </row>
    <row r="107" spans="1:20">
      <c r="A107" t="s">
        <v>48</v>
      </c>
      <c r="B107" s="2">
        <v>45689</v>
      </c>
      <c r="C107" t="s">
        <v>27</v>
      </c>
      <c r="D107" t="s">
        <v>18</v>
      </c>
      <c r="E107">
        <v>74679.350000000006</v>
      </c>
      <c r="F107">
        <v>8739</v>
      </c>
      <c r="G107">
        <v>5.6000000000000001E-2</v>
      </c>
      <c r="H107">
        <v>21</v>
      </c>
      <c r="I107">
        <v>91.8</v>
      </c>
      <c r="J107">
        <v>2.83</v>
      </c>
      <c r="K107">
        <v>0</v>
      </c>
      <c r="L107">
        <v>3</v>
      </c>
      <c r="M107">
        <v>783797.89</v>
      </c>
      <c r="N107">
        <v>157620.70000000001</v>
      </c>
      <c r="O107">
        <f t="shared" si="6"/>
        <v>0</v>
      </c>
      <c r="P107">
        <f t="shared" si="7"/>
        <v>0</v>
      </c>
      <c r="Q107">
        <f t="shared" si="8"/>
        <v>0</v>
      </c>
      <c r="R107">
        <f t="shared" si="9"/>
        <v>0</v>
      </c>
      <c r="S107">
        <f t="shared" si="10"/>
        <v>1</v>
      </c>
      <c r="T107">
        <f t="shared" si="11"/>
        <v>0</v>
      </c>
    </row>
    <row r="108" spans="1:20">
      <c r="A108" t="s">
        <v>48</v>
      </c>
      <c r="B108" s="2">
        <v>45717</v>
      </c>
      <c r="C108" t="s">
        <v>27</v>
      </c>
      <c r="D108" t="s">
        <v>18</v>
      </c>
      <c r="E108">
        <v>64294.23</v>
      </c>
      <c r="F108">
        <v>6992</v>
      </c>
      <c r="G108">
        <v>0.13300000000000001</v>
      </c>
      <c r="H108">
        <v>14</v>
      </c>
      <c r="I108">
        <v>94.1</v>
      </c>
      <c r="J108">
        <v>0.25</v>
      </c>
      <c r="K108">
        <v>0</v>
      </c>
      <c r="L108">
        <v>3</v>
      </c>
      <c r="M108">
        <v>795153.84</v>
      </c>
      <c r="N108">
        <v>143194.21</v>
      </c>
      <c r="O108">
        <f t="shared" si="6"/>
        <v>0</v>
      </c>
      <c r="P108">
        <f t="shared" si="7"/>
        <v>0</v>
      </c>
      <c r="Q108">
        <f t="shared" si="8"/>
        <v>0</v>
      </c>
      <c r="R108">
        <f t="shared" si="9"/>
        <v>0</v>
      </c>
      <c r="S108">
        <f t="shared" si="10"/>
        <v>1</v>
      </c>
      <c r="T108">
        <f t="shared" si="11"/>
        <v>0</v>
      </c>
    </row>
    <row r="109" spans="1:20">
      <c r="A109" t="s">
        <v>48</v>
      </c>
      <c r="B109" s="2">
        <v>45748</v>
      </c>
      <c r="C109" t="s">
        <v>27</v>
      </c>
      <c r="D109" t="s">
        <v>18</v>
      </c>
      <c r="E109">
        <v>31042.03</v>
      </c>
      <c r="F109">
        <v>7107</v>
      </c>
      <c r="G109">
        <v>5.0999999999999997E-2</v>
      </c>
      <c r="H109">
        <v>15</v>
      </c>
      <c r="I109">
        <v>87</v>
      </c>
      <c r="J109">
        <v>13.33</v>
      </c>
      <c r="K109">
        <v>0</v>
      </c>
      <c r="L109">
        <v>3.2</v>
      </c>
      <c r="M109">
        <v>665594.93999999994</v>
      </c>
      <c r="N109">
        <v>127597.34</v>
      </c>
      <c r="O109">
        <f t="shared" si="6"/>
        <v>0</v>
      </c>
      <c r="P109">
        <f t="shared" si="7"/>
        <v>0</v>
      </c>
      <c r="Q109">
        <f t="shared" si="8"/>
        <v>0</v>
      </c>
      <c r="R109">
        <f t="shared" si="9"/>
        <v>0</v>
      </c>
      <c r="S109">
        <f t="shared" si="10"/>
        <v>1</v>
      </c>
      <c r="T109">
        <f t="shared" si="11"/>
        <v>0</v>
      </c>
    </row>
    <row r="110" spans="1:20">
      <c r="A110" t="s">
        <v>49</v>
      </c>
      <c r="B110" s="2">
        <v>45658</v>
      </c>
      <c r="C110" t="s">
        <v>15</v>
      </c>
      <c r="D110" t="s">
        <v>28</v>
      </c>
      <c r="E110">
        <v>75265.02</v>
      </c>
      <c r="F110">
        <v>6975</v>
      </c>
      <c r="G110">
        <v>0.157</v>
      </c>
      <c r="H110">
        <v>20</v>
      </c>
      <c r="I110">
        <v>73.8</v>
      </c>
      <c r="J110">
        <v>6.35</v>
      </c>
      <c r="K110">
        <v>1</v>
      </c>
      <c r="L110">
        <v>3.8</v>
      </c>
      <c r="M110">
        <v>709478.39</v>
      </c>
      <c r="N110">
        <v>71294.27</v>
      </c>
      <c r="O110">
        <f t="shared" si="6"/>
        <v>1</v>
      </c>
      <c r="P110">
        <f t="shared" si="7"/>
        <v>0</v>
      </c>
      <c r="Q110">
        <f t="shared" si="8"/>
        <v>0</v>
      </c>
      <c r="R110">
        <f t="shared" si="9"/>
        <v>0</v>
      </c>
      <c r="S110">
        <f t="shared" si="10"/>
        <v>0</v>
      </c>
      <c r="T110">
        <f t="shared" si="11"/>
        <v>0</v>
      </c>
    </row>
    <row r="111" spans="1:20">
      <c r="A111" t="s">
        <v>49</v>
      </c>
      <c r="B111" s="2">
        <v>45689</v>
      </c>
      <c r="C111" t="s">
        <v>15</v>
      </c>
      <c r="D111" t="s">
        <v>28</v>
      </c>
      <c r="E111">
        <v>69411.7</v>
      </c>
      <c r="F111">
        <v>5493</v>
      </c>
      <c r="G111">
        <v>0.29199999999999998</v>
      </c>
      <c r="H111">
        <v>13</v>
      </c>
      <c r="I111">
        <v>86.5</v>
      </c>
      <c r="J111">
        <v>6.69</v>
      </c>
      <c r="K111">
        <v>0</v>
      </c>
      <c r="L111">
        <v>3.8</v>
      </c>
      <c r="M111">
        <v>664162.49</v>
      </c>
      <c r="N111">
        <v>98291.06</v>
      </c>
      <c r="O111">
        <f t="shared" si="6"/>
        <v>1</v>
      </c>
      <c r="P111">
        <f t="shared" si="7"/>
        <v>0</v>
      </c>
      <c r="Q111">
        <f t="shared" si="8"/>
        <v>0</v>
      </c>
      <c r="R111">
        <f t="shared" si="9"/>
        <v>0</v>
      </c>
      <c r="S111">
        <f t="shared" si="10"/>
        <v>0</v>
      </c>
      <c r="T111">
        <f t="shared" si="11"/>
        <v>0</v>
      </c>
    </row>
    <row r="112" spans="1:20">
      <c r="A112" t="s">
        <v>49</v>
      </c>
      <c r="B112" s="2">
        <v>45717</v>
      </c>
      <c r="C112" t="s">
        <v>15</v>
      </c>
      <c r="D112" t="s">
        <v>28</v>
      </c>
      <c r="E112">
        <v>51056.15</v>
      </c>
      <c r="F112">
        <v>5686</v>
      </c>
      <c r="G112">
        <v>8.8999999999999996E-2</v>
      </c>
      <c r="H112">
        <v>13</v>
      </c>
      <c r="I112">
        <v>89.9</v>
      </c>
      <c r="J112">
        <v>1.28</v>
      </c>
      <c r="K112">
        <v>0</v>
      </c>
      <c r="L112">
        <v>4.2</v>
      </c>
      <c r="M112">
        <v>633494.21</v>
      </c>
      <c r="N112">
        <v>105739.47</v>
      </c>
      <c r="O112">
        <f t="shared" si="6"/>
        <v>1</v>
      </c>
      <c r="P112">
        <f t="shared" si="7"/>
        <v>0</v>
      </c>
      <c r="Q112">
        <f t="shared" si="8"/>
        <v>0</v>
      </c>
      <c r="R112">
        <f t="shared" si="9"/>
        <v>0</v>
      </c>
      <c r="S112">
        <f t="shared" si="10"/>
        <v>0</v>
      </c>
      <c r="T112">
        <f t="shared" si="11"/>
        <v>0</v>
      </c>
    </row>
    <row r="113" spans="1:20">
      <c r="A113" t="s">
        <v>49</v>
      </c>
      <c r="B113" s="2">
        <v>45748</v>
      </c>
      <c r="C113" t="s">
        <v>15</v>
      </c>
      <c r="D113" t="s">
        <v>28</v>
      </c>
      <c r="E113">
        <v>52758.01</v>
      </c>
      <c r="F113">
        <v>4063</v>
      </c>
      <c r="G113">
        <v>5.7000000000000002E-2</v>
      </c>
      <c r="H113">
        <v>12</v>
      </c>
      <c r="I113">
        <v>91.7</v>
      </c>
      <c r="J113">
        <v>0.92</v>
      </c>
      <c r="K113">
        <v>0</v>
      </c>
      <c r="L113">
        <v>3.5</v>
      </c>
      <c r="M113">
        <v>713611.16</v>
      </c>
      <c r="N113">
        <v>129717.18</v>
      </c>
      <c r="O113">
        <f t="shared" si="6"/>
        <v>1</v>
      </c>
      <c r="P113">
        <f t="shared" si="7"/>
        <v>0</v>
      </c>
      <c r="Q113">
        <f t="shared" si="8"/>
        <v>0</v>
      </c>
      <c r="R113">
        <f t="shared" si="9"/>
        <v>0</v>
      </c>
      <c r="S113">
        <f t="shared" si="10"/>
        <v>0</v>
      </c>
      <c r="T113">
        <f t="shared" si="11"/>
        <v>0</v>
      </c>
    </row>
    <row r="114" spans="1:20">
      <c r="A114" t="s">
        <v>50</v>
      </c>
      <c r="B114" s="2">
        <v>45658</v>
      </c>
      <c r="C114" t="s">
        <v>27</v>
      </c>
      <c r="D114" t="s">
        <v>28</v>
      </c>
      <c r="E114">
        <v>61426.04</v>
      </c>
      <c r="F114">
        <v>8966</v>
      </c>
      <c r="G114">
        <v>0.17299999999999999</v>
      </c>
      <c r="H114">
        <v>22</v>
      </c>
      <c r="I114">
        <v>76.400000000000006</v>
      </c>
      <c r="J114">
        <v>1.05</v>
      </c>
      <c r="K114">
        <v>0</v>
      </c>
      <c r="L114">
        <v>3.1</v>
      </c>
      <c r="M114">
        <v>778397.97</v>
      </c>
      <c r="N114">
        <v>120044.41</v>
      </c>
      <c r="O114">
        <f t="shared" si="6"/>
        <v>0</v>
      </c>
      <c r="P114">
        <f t="shared" si="7"/>
        <v>0</v>
      </c>
      <c r="Q114">
        <f t="shared" si="8"/>
        <v>0</v>
      </c>
      <c r="R114">
        <f t="shared" si="9"/>
        <v>0</v>
      </c>
      <c r="S114">
        <f t="shared" si="10"/>
        <v>0</v>
      </c>
      <c r="T114">
        <f t="shared" si="11"/>
        <v>0</v>
      </c>
    </row>
    <row r="115" spans="1:20">
      <c r="A115" t="s">
        <v>50</v>
      </c>
      <c r="B115" s="2">
        <v>45689</v>
      </c>
      <c r="C115" t="s">
        <v>27</v>
      </c>
      <c r="D115" t="s">
        <v>28</v>
      </c>
      <c r="E115">
        <v>80176.34</v>
      </c>
      <c r="F115">
        <v>9489</v>
      </c>
      <c r="G115">
        <v>0.14199999999999999</v>
      </c>
      <c r="H115">
        <v>22</v>
      </c>
      <c r="I115">
        <v>94.3</v>
      </c>
      <c r="J115">
        <v>2.67</v>
      </c>
      <c r="K115">
        <v>0</v>
      </c>
      <c r="L115">
        <v>3.5</v>
      </c>
      <c r="M115">
        <v>873380.02</v>
      </c>
      <c r="N115">
        <v>149734.76</v>
      </c>
      <c r="O115">
        <f t="shared" si="6"/>
        <v>0</v>
      </c>
      <c r="P115">
        <f t="shared" si="7"/>
        <v>0</v>
      </c>
      <c r="Q115">
        <f t="shared" si="8"/>
        <v>0</v>
      </c>
      <c r="R115">
        <f t="shared" si="9"/>
        <v>0</v>
      </c>
      <c r="S115">
        <f t="shared" si="10"/>
        <v>0</v>
      </c>
      <c r="T115">
        <f t="shared" si="11"/>
        <v>0</v>
      </c>
    </row>
    <row r="116" spans="1:20">
      <c r="A116" t="s">
        <v>50</v>
      </c>
      <c r="B116" s="2">
        <v>45717</v>
      </c>
      <c r="C116" t="s">
        <v>27</v>
      </c>
      <c r="D116" t="s">
        <v>28</v>
      </c>
      <c r="E116">
        <v>33605.18</v>
      </c>
      <c r="F116">
        <v>9225</v>
      </c>
      <c r="G116">
        <v>0.159</v>
      </c>
      <c r="H116">
        <v>23</v>
      </c>
      <c r="I116">
        <v>88.4</v>
      </c>
      <c r="J116">
        <v>5.91</v>
      </c>
      <c r="K116">
        <v>0</v>
      </c>
      <c r="L116">
        <v>2.8</v>
      </c>
      <c r="M116">
        <v>697287.9</v>
      </c>
      <c r="N116">
        <v>128208.33</v>
      </c>
      <c r="O116">
        <f t="shared" si="6"/>
        <v>0</v>
      </c>
      <c r="P116">
        <f t="shared" si="7"/>
        <v>0</v>
      </c>
      <c r="Q116">
        <f t="shared" si="8"/>
        <v>0</v>
      </c>
      <c r="R116">
        <f t="shared" si="9"/>
        <v>0</v>
      </c>
      <c r="S116">
        <f t="shared" si="10"/>
        <v>0</v>
      </c>
      <c r="T116">
        <f t="shared" si="11"/>
        <v>0</v>
      </c>
    </row>
    <row r="117" spans="1:20">
      <c r="A117" t="s">
        <v>50</v>
      </c>
      <c r="B117" s="2">
        <v>45748</v>
      </c>
      <c r="C117" t="s">
        <v>27</v>
      </c>
      <c r="D117" t="s">
        <v>28</v>
      </c>
      <c r="E117">
        <v>25990.54</v>
      </c>
      <c r="F117">
        <v>9249</v>
      </c>
      <c r="G117">
        <v>0.13900000000000001</v>
      </c>
      <c r="H117">
        <v>23</v>
      </c>
      <c r="I117">
        <v>92.5</v>
      </c>
      <c r="J117">
        <v>6.37</v>
      </c>
      <c r="K117">
        <v>0</v>
      </c>
      <c r="L117">
        <v>3.3</v>
      </c>
      <c r="M117">
        <v>718074.79</v>
      </c>
      <c r="N117">
        <v>115819.87</v>
      </c>
      <c r="O117">
        <f t="shared" si="6"/>
        <v>0</v>
      </c>
      <c r="P117">
        <f t="shared" si="7"/>
        <v>0</v>
      </c>
      <c r="Q117">
        <f t="shared" si="8"/>
        <v>0</v>
      </c>
      <c r="R117">
        <f t="shared" si="9"/>
        <v>0</v>
      </c>
      <c r="S117">
        <f t="shared" si="10"/>
        <v>0</v>
      </c>
      <c r="T117">
        <f t="shared" si="11"/>
        <v>0</v>
      </c>
    </row>
    <row r="118" spans="1:20">
      <c r="A118" t="s">
        <v>51</v>
      </c>
      <c r="B118" s="2">
        <v>45658</v>
      </c>
      <c r="C118" t="s">
        <v>27</v>
      </c>
      <c r="D118" t="s">
        <v>16</v>
      </c>
      <c r="E118">
        <v>43685.14</v>
      </c>
      <c r="F118">
        <v>7821</v>
      </c>
      <c r="G118">
        <v>0.19</v>
      </c>
      <c r="H118">
        <v>17</v>
      </c>
      <c r="I118">
        <v>91</v>
      </c>
      <c r="J118">
        <v>2.4900000000000002</v>
      </c>
      <c r="K118">
        <v>1</v>
      </c>
      <c r="L118">
        <v>4.7</v>
      </c>
      <c r="M118">
        <v>714942.43</v>
      </c>
      <c r="N118">
        <v>94697.71</v>
      </c>
      <c r="O118">
        <f t="shared" si="6"/>
        <v>0</v>
      </c>
      <c r="P118">
        <f t="shared" si="7"/>
        <v>0</v>
      </c>
      <c r="Q118">
        <f t="shared" si="8"/>
        <v>0</v>
      </c>
      <c r="R118">
        <f t="shared" si="9"/>
        <v>1</v>
      </c>
      <c r="S118">
        <f t="shared" si="10"/>
        <v>0</v>
      </c>
      <c r="T118">
        <f t="shared" si="11"/>
        <v>0</v>
      </c>
    </row>
    <row r="119" spans="1:20">
      <c r="A119" t="s">
        <v>51</v>
      </c>
      <c r="B119" s="2">
        <v>45689</v>
      </c>
      <c r="C119" t="s">
        <v>27</v>
      </c>
      <c r="D119" t="s">
        <v>16</v>
      </c>
      <c r="E119">
        <v>57360.01</v>
      </c>
      <c r="F119">
        <v>8434</v>
      </c>
      <c r="G119">
        <v>0.151</v>
      </c>
      <c r="H119">
        <v>19</v>
      </c>
      <c r="I119">
        <v>84.1</v>
      </c>
      <c r="J119">
        <v>1.56</v>
      </c>
      <c r="K119">
        <v>0</v>
      </c>
      <c r="L119">
        <v>4.7</v>
      </c>
      <c r="M119">
        <v>820519.04</v>
      </c>
      <c r="N119">
        <v>99035.88</v>
      </c>
      <c r="O119">
        <f t="shared" si="6"/>
        <v>0</v>
      </c>
      <c r="P119">
        <f t="shared" si="7"/>
        <v>0</v>
      </c>
      <c r="Q119">
        <f t="shared" si="8"/>
        <v>0</v>
      </c>
      <c r="R119">
        <f t="shared" si="9"/>
        <v>1</v>
      </c>
      <c r="S119">
        <f t="shared" si="10"/>
        <v>0</v>
      </c>
      <c r="T119">
        <f t="shared" si="11"/>
        <v>0</v>
      </c>
    </row>
    <row r="120" spans="1:20">
      <c r="A120" t="s">
        <v>51</v>
      </c>
      <c r="B120" s="2">
        <v>45717</v>
      </c>
      <c r="C120" t="s">
        <v>27</v>
      </c>
      <c r="D120" t="s">
        <v>16</v>
      </c>
      <c r="E120">
        <v>42415.47</v>
      </c>
      <c r="F120">
        <v>8512</v>
      </c>
      <c r="G120">
        <v>0.13300000000000001</v>
      </c>
      <c r="H120">
        <v>18</v>
      </c>
      <c r="I120">
        <v>96.8</v>
      </c>
      <c r="J120">
        <v>14.95</v>
      </c>
      <c r="K120">
        <v>0</v>
      </c>
      <c r="L120">
        <v>4.5999999999999996</v>
      </c>
      <c r="M120">
        <v>684217.32</v>
      </c>
      <c r="N120">
        <v>136217.19</v>
      </c>
      <c r="O120">
        <f t="shared" si="6"/>
        <v>0</v>
      </c>
      <c r="P120">
        <f t="shared" si="7"/>
        <v>0</v>
      </c>
      <c r="Q120">
        <f t="shared" si="8"/>
        <v>0</v>
      </c>
      <c r="R120">
        <f t="shared" si="9"/>
        <v>1</v>
      </c>
      <c r="S120">
        <f t="shared" si="10"/>
        <v>0</v>
      </c>
      <c r="T120">
        <f t="shared" si="11"/>
        <v>0</v>
      </c>
    </row>
    <row r="121" spans="1:20">
      <c r="A121" t="s">
        <v>51</v>
      </c>
      <c r="B121" s="2">
        <v>45748</v>
      </c>
      <c r="C121" t="s">
        <v>27</v>
      </c>
      <c r="D121" t="s">
        <v>16</v>
      </c>
      <c r="E121">
        <v>54968.98</v>
      </c>
      <c r="F121">
        <v>7816</v>
      </c>
      <c r="G121">
        <v>0.23200000000000001</v>
      </c>
      <c r="H121">
        <v>19</v>
      </c>
      <c r="I121">
        <v>95.7</v>
      </c>
      <c r="J121">
        <v>7.85</v>
      </c>
      <c r="K121">
        <v>0</v>
      </c>
      <c r="L121">
        <v>4.7</v>
      </c>
      <c r="M121">
        <v>735480.19</v>
      </c>
      <c r="N121">
        <v>88342.11</v>
      </c>
      <c r="O121">
        <f t="shared" si="6"/>
        <v>0</v>
      </c>
      <c r="P121">
        <f t="shared" si="7"/>
        <v>0</v>
      </c>
      <c r="Q121">
        <f t="shared" si="8"/>
        <v>0</v>
      </c>
      <c r="R121">
        <f t="shared" si="9"/>
        <v>1</v>
      </c>
      <c r="S121">
        <f t="shared" si="10"/>
        <v>0</v>
      </c>
      <c r="T121">
        <f t="shared" si="11"/>
        <v>0</v>
      </c>
    </row>
    <row r="122" spans="1:20">
      <c r="A122" t="s">
        <v>52</v>
      </c>
      <c r="B122" s="2">
        <v>45658</v>
      </c>
      <c r="C122" t="s">
        <v>20</v>
      </c>
      <c r="D122" t="s">
        <v>18</v>
      </c>
      <c r="E122">
        <v>43896.13</v>
      </c>
      <c r="F122">
        <v>3853</v>
      </c>
      <c r="G122">
        <v>8.7999999999999995E-2</v>
      </c>
      <c r="H122">
        <v>13</v>
      </c>
      <c r="I122">
        <v>83</v>
      </c>
      <c r="J122">
        <v>6.8</v>
      </c>
      <c r="K122">
        <v>0</v>
      </c>
      <c r="L122">
        <v>4.4000000000000004</v>
      </c>
      <c r="M122">
        <v>509484.81</v>
      </c>
      <c r="N122">
        <v>85742.36</v>
      </c>
      <c r="O122">
        <f t="shared" si="6"/>
        <v>0</v>
      </c>
      <c r="P122">
        <f t="shared" si="7"/>
        <v>1</v>
      </c>
      <c r="Q122">
        <f t="shared" si="8"/>
        <v>0</v>
      </c>
      <c r="R122">
        <f t="shared" si="9"/>
        <v>0</v>
      </c>
      <c r="S122">
        <f t="shared" si="10"/>
        <v>1</v>
      </c>
      <c r="T122">
        <f t="shared" si="11"/>
        <v>0</v>
      </c>
    </row>
    <row r="123" spans="1:20">
      <c r="A123" t="s">
        <v>52</v>
      </c>
      <c r="B123" s="2">
        <v>45689</v>
      </c>
      <c r="C123" t="s">
        <v>20</v>
      </c>
      <c r="D123" t="s">
        <v>18</v>
      </c>
      <c r="E123">
        <v>83044.17</v>
      </c>
      <c r="F123">
        <v>3694</v>
      </c>
      <c r="G123">
        <v>0</v>
      </c>
      <c r="H123">
        <v>14</v>
      </c>
      <c r="I123">
        <v>89.4</v>
      </c>
      <c r="J123">
        <v>2.2000000000000002</v>
      </c>
      <c r="K123">
        <v>0</v>
      </c>
      <c r="L123">
        <v>3.7</v>
      </c>
      <c r="M123">
        <v>654317.09</v>
      </c>
      <c r="N123">
        <v>121446.89</v>
      </c>
      <c r="O123">
        <f t="shared" si="6"/>
        <v>0</v>
      </c>
      <c r="P123">
        <f t="shared" si="7"/>
        <v>1</v>
      </c>
      <c r="Q123">
        <f t="shared" si="8"/>
        <v>0</v>
      </c>
      <c r="R123">
        <f t="shared" si="9"/>
        <v>0</v>
      </c>
      <c r="S123">
        <f t="shared" si="10"/>
        <v>1</v>
      </c>
      <c r="T123">
        <f t="shared" si="11"/>
        <v>0</v>
      </c>
    </row>
    <row r="124" spans="1:20">
      <c r="A124" t="s">
        <v>52</v>
      </c>
      <c r="B124" s="2">
        <v>45717</v>
      </c>
      <c r="C124" t="s">
        <v>20</v>
      </c>
      <c r="D124" t="s">
        <v>18</v>
      </c>
      <c r="E124">
        <v>48396.13</v>
      </c>
      <c r="F124">
        <v>4423</v>
      </c>
      <c r="G124">
        <v>6.9000000000000006E-2</v>
      </c>
      <c r="H124">
        <v>15</v>
      </c>
      <c r="I124">
        <v>85.7</v>
      </c>
      <c r="J124">
        <v>1.88</v>
      </c>
      <c r="K124">
        <v>0</v>
      </c>
      <c r="L124">
        <v>3.9</v>
      </c>
      <c r="M124">
        <v>557487.26</v>
      </c>
      <c r="N124">
        <v>76432.19</v>
      </c>
      <c r="O124">
        <f t="shared" si="6"/>
        <v>0</v>
      </c>
      <c r="P124">
        <f t="shared" si="7"/>
        <v>1</v>
      </c>
      <c r="Q124">
        <f t="shared" si="8"/>
        <v>0</v>
      </c>
      <c r="R124">
        <f t="shared" si="9"/>
        <v>0</v>
      </c>
      <c r="S124">
        <f t="shared" si="10"/>
        <v>1</v>
      </c>
      <c r="T124">
        <f t="shared" si="11"/>
        <v>0</v>
      </c>
    </row>
    <row r="125" spans="1:20">
      <c r="A125" t="s">
        <v>52</v>
      </c>
      <c r="B125" s="2">
        <v>45748</v>
      </c>
      <c r="C125" t="s">
        <v>20</v>
      </c>
      <c r="D125" t="s">
        <v>18</v>
      </c>
      <c r="E125">
        <v>19063.48</v>
      </c>
      <c r="F125">
        <v>1906</v>
      </c>
      <c r="G125">
        <v>0.216</v>
      </c>
      <c r="H125">
        <v>10</v>
      </c>
      <c r="I125">
        <v>97.8</v>
      </c>
      <c r="J125">
        <v>15.79</v>
      </c>
      <c r="K125">
        <v>0</v>
      </c>
      <c r="L125">
        <v>4.4000000000000004</v>
      </c>
      <c r="M125">
        <v>441275.42</v>
      </c>
      <c r="N125">
        <v>58234.87</v>
      </c>
      <c r="O125">
        <f t="shared" si="6"/>
        <v>0</v>
      </c>
      <c r="P125">
        <f t="shared" si="7"/>
        <v>1</v>
      </c>
      <c r="Q125">
        <f t="shared" si="8"/>
        <v>0</v>
      </c>
      <c r="R125">
        <f t="shared" si="9"/>
        <v>0</v>
      </c>
      <c r="S125">
        <f t="shared" si="10"/>
        <v>1</v>
      </c>
      <c r="T125">
        <f t="shared" si="11"/>
        <v>0</v>
      </c>
    </row>
    <row r="126" spans="1:20">
      <c r="A126" t="s">
        <v>53</v>
      </c>
      <c r="B126" s="2">
        <v>45658</v>
      </c>
      <c r="C126" t="s">
        <v>24</v>
      </c>
      <c r="D126" t="s">
        <v>18</v>
      </c>
      <c r="E126">
        <v>61541.21</v>
      </c>
      <c r="F126">
        <v>10396</v>
      </c>
      <c r="G126">
        <v>0.123</v>
      </c>
      <c r="H126">
        <v>25</v>
      </c>
      <c r="I126">
        <v>88.1</v>
      </c>
      <c r="J126">
        <v>2.34</v>
      </c>
      <c r="K126">
        <v>1</v>
      </c>
      <c r="L126">
        <v>4.8</v>
      </c>
      <c r="M126">
        <v>914544.17</v>
      </c>
      <c r="N126">
        <v>79831.73</v>
      </c>
      <c r="O126">
        <f t="shared" si="6"/>
        <v>0</v>
      </c>
      <c r="P126">
        <f t="shared" si="7"/>
        <v>0</v>
      </c>
      <c r="Q126">
        <f t="shared" si="8"/>
        <v>1</v>
      </c>
      <c r="R126">
        <f t="shared" si="9"/>
        <v>0</v>
      </c>
      <c r="S126">
        <f t="shared" si="10"/>
        <v>1</v>
      </c>
      <c r="T126">
        <f t="shared" si="11"/>
        <v>0</v>
      </c>
    </row>
    <row r="127" spans="1:20">
      <c r="A127" t="s">
        <v>53</v>
      </c>
      <c r="B127" s="2">
        <v>45689</v>
      </c>
      <c r="C127" t="s">
        <v>24</v>
      </c>
      <c r="D127" t="s">
        <v>18</v>
      </c>
      <c r="E127">
        <v>44747</v>
      </c>
      <c r="F127">
        <v>11076</v>
      </c>
      <c r="G127">
        <v>0.17599999999999999</v>
      </c>
      <c r="H127">
        <v>27</v>
      </c>
      <c r="I127">
        <v>98.3</v>
      </c>
      <c r="J127">
        <v>0.54</v>
      </c>
      <c r="K127">
        <v>0</v>
      </c>
      <c r="L127">
        <v>4.4000000000000004</v>
      </c>
      <c r="M127">
        <v>842439.67</v>
      </c>
      <c r="N127">
        <v>169983.63</v>
      </c>
      <c r="O127">
        <f t="shared" si="6"/>
        <v>0</v>
      </c>
      <c r="P127">
        <f t="shared" si="7"/>
        <v>0</v>
      </c>
      <c r="Q127">
        <f t="shared" si="8"/>
        <v>1</v>
      </c>
      <c r="R127">
        <f t="shared" si="9"/>
        <v>0</v>
      </c>
      <c r="S127">
        <f t="shared" si="10"/>
        <v>1</v>
      </c>
      <c r="T127">
        <f t="shared" si="11"/>
        <v>0</v>
      </c>
    </row>
    <row r="128" spans="1:20">
      <c r="A128" t="s">
        <v>53</v>
      </c>
      <c r="B128" s="2">
        <v>45717</v>
      </c>
      <c r="C128" t="s">
        <v>24</v>
      </c>
      <c r="D128" t="s">
        <v>18</v>
      </c>
      <c r="E128">
        <v>56517.9</v>
      </c>
      <c r="F128">
        <v>9574</v>
      </c>
      <c r="G128">
        <v>0.20399999999999999</v>
      </c>
      <c r="H128">
        <v>20</v>
      </c>
      <c r="I128">
        <v>88.2</v>
      </c>
      <c r="J128">
        <v>5.37</v>
      </c>
      <c r="K128">
        <v>1</v>
      </c>
      <c r="L128">
        <v>4.9000000000000004</v>
      </c>
      <c r="M128">
        <v>842157.92</v>
      </c>
      <c r="N128">
        <v>107348.22</v>
      </c>
      <c r="O128">
        <f t="shared" si="6"/>
        <v>0</v>
      </c>
      <c r="P128">
        <f t="shared" si="7"/>
        <v>0</v>
      </c>
      <c r="Q128">
        <f t="shared" si="8"/>
        <v>1</v>
      </c>
      <c r="R128">
        <f t="shared" si="9"/>
        <v>0</v>
      </c>
      <c r="S128">
        <f t="shared" si="10"/>
        <v>1</v>
      </c>
      <c r="T128">
        <f t="shared" si="11"/>
        <v>0</v>
      </c>
    </row>
    <row r="129" spans="1:20">
      <c r="A129" t="s">
        <v>53</v>
      </c>
      <c r="B129" s="2">
        <v>45748</v>
      </c>
      <c r="C129" t="s">
        <v>24</v>
      </c>
      <c r="D129" t="s">
        <v>18</v>
      </c>
      <c r="E129">
        <v>37828.5</v>
      </c>
      <c r="F129">
        <v>8221</v>
      </c>
      <c r="G129">
        <v>9.6000000000000002E-2</v>
      </c>
      <c r="H129">
        <v>19</v>
      </c>
      <c r="I129">
        <v>81.5</v>
      </c>
      <c r="J129">
        <v>3.19</v>
      </c>
      <c r="K129">
        <v>0</v>
      </c>
      <c r="L129">
        <v>4.8</v>
      </c>
      <c r="M129">
        <v>697155.3</v>
      </c>
      <c r="N129">
        <v>136408.54</v>
      </c>
      <c r="O129">
        <f t="shared" si="6"/>
        <v>0</v>
      </c>
      <c r="P129">
        <f t="shared" si="7"/>
        <v>0</v>
      </c>
      <c r="Q129">
        <f t="shared" si="8"/>
        <v>1</v>
      </c>
      <c r="R129">
        <f t="shared" si="9"/>
        <v>0</v>
      </c>
      <c r="S129">
        <f t="shared" si="10"/>
        <v>1</v>
      </c>
      <c r="T129">
        <f t="shared" si="11"/>
        <v>0</v>
      </c>
    </row>
    <row r="130" spans="1:20">
      <c r="A130" t="s">
        <v>54</v>
      </c>
      <c r="B130" s="2">
        <v>45658</v>
      </c>
      <c r="C130" t="s">
        <v>15</v>
      </c>
      <c r="D130" t="s">
        <v>18</v>
      </c>
      <c r="E130">
        <v>66250.53</v>
      </c>
      <c r="F130">
        <v>10618</v>
      </c>
      <c r="G130">
        <v>0.14199999999999999</v>
      </c>
      <c r="H130">
        <v>27</v>
      </c>
      <c r="I130">
        <v>88.3</v>
      </c>
      <c r="J130">
        <v>1.1000000000000001</v>
      </c>
      <c r="K130">
        <v>1</v>
      </c>
      <c r="L130">
        <v>4.4000000000000004</v>
      </c>
      <c r="M130">
        <v>849018.3</v>
      </c>
      <c r="N130">
        <v>149035.13</v>
      </c>
      <c r="O130">
        <f t="shared" si="6"/>
        <v>1</v>
      </c>
      <c r="P130">
        <f t="shared" si="7"/>
        <v>0</v>
      </c>
      <c r="Q130">
        <f t="shared" si="8"/>
        <v>0</v>
      </c>
      <c r="R130">
        <f t="shared" si="9"/>
        <v>0</v>
      </c>
      <c r="S130">
        <f t="shared" si="10"/>
        <v>1</v>
      </c>
      <c r="T130">
        <f t="shared" si="11"/>
        <v>0</v>
      </c>
    </row>
    <row r="131" spans="1:20">
      <c r="A131" t="s">
        <v>54</v>
      </c>
      <c r="B131" s="2">
        <v>45689</v>
      </c>
      <c r="C131" t="s">
        <v>15</v>
      </c>
      <c r="D131" t="s">
        <v>18</v>
      </c>
      <c r="E131">
        <v>68410.929999999993</v>
      </c>
      <c r="F131">
        <v>10596</v>
      </c>
      <c r="G131">
        <v>0.20699999999999999</v>
      </c>
      <c r="H131">
        <v>25</v>
      </c>
      <c r="I131">
        <v>81.2</v>
      </c>
      <c r="J131">
        <v>0.21</v>
      </c>
      <c r="K131">
        <v>0</v>
      </c>
      <c r="L131">
        <v>4</v>
      </c>
      <c r="M131">
        <v>801830.35</v>
      </c>
      <c r="N131">
        <v>114875.32</v>
      </c>
      <c r="O131">
        <f t="shared" ref="O131:O194" si="12">IF(C131="East",1,0)</f>
        <v>1</v>
      </c>
      <c r="P131">
        <f t="shared" ref="P131:P194" si="13">IF(C131="North",1,0)</f>
        <v>0</v>
      </c>
      <c r="Q131">
        <f t="shared" ref="Q131:Q194" si="14">IF(C131="South",1,0)</f>
        <v>0</v>
      </c>
      <c r="R131">
        <f t="shared" ref="R131:R194" si="15">IF(D131="Residential",1,0)</f>
        <v>0</v>
      </c>
      <c r="S131">
        <f t="shared" ref="S131:S194" si="16">IF(D131="High Street",1,0)</f>
        <v>1</v>
      </c>
      <c r="T131">
        <f t="shared" ref="T131:T194" si="17">IF(D131="Airport",1,0)</f>
        <v>0</v>
      </c>
    </row>
    <row r="132" spans="1:20">
      <c r="A132" t="s">
        <v>54</v>
      </c>
      <c r="B132" s="2">
        <v>45717</v>
      </c>
      <c r="C132" t="s">
        <v>15</v>
      </c>
      <c r="D132" t="s">
        <v>18</v>
      </c>
      <c r="E132">
        <v>50735.63</v>
      </c>
      <c r="F132">
        <v>9619</v>
      </c>
      <c r="G132">
        <v>0.14399999999999999</v>
      </c>
      <c r="H132">
        <v>19</v>
      </c>
      <c r="I132">
        <v>93.8</v>
      </c>
      <c r="J132">
        <v>5.12</v>
      </c>
      <c r="K132">
        <v>1</v>
      </c>
      <c r="L132">
        <v>4.5</v>
      </c>
      <c r="M132">
        <v>725235.28</v>
      </c>
      <c r="N132">
        <v>121632.24</v>
      </c>
      <c r="O132">
        <f t="shared" si="12"/>
        <v>1</v>
      </c>
      <c r="P132">
        <f t="shared" si="13"/>
        <v>0</v>
      </c>
      <c r="Q132">
        <f t="shared" si="14"/>
        <v>0</v>
      </c>
      <c r="R132">
        <f t="shared" si="15"/>
        <v>0</v>
      </c>
      <c r="S132">
        <f t="shared" si="16"/>
        <v>1</v>
      </c>
      <c r="T132">
        <f t="shared" si="17"/>
        <v>0</v>
      </c>
    </row>
    <row r="133" spans="1:20">
      <c r="A133" t="s">
        <v>54</v>
      </c>
      <c r="B133" s="2">
        <v>45748</v>
      </c>
      <c r="C133" t="s">
        <v>15</v>
      </c>
      <c r="D133" t="s">
        <v>18</v>
      </c>
      <c r="E133">
        <v>66455.8</v>
      </c>
      <c r="F133">
        <v>10836</v>
      </c>
      <c r="G133">
        <v>8.8999999999999996E-2</v>
      </c>
      <c r="H133">
        <v>25</v>
      </c>
      <c r="I133">
        <v>85</v>
      </c>
      <c r="J133">
        <v>9.77</v>
      </c>
      <c r="K133">
        <v>0</v>
      </c>
      <c r="L133">
        <v>4.5</v>
      </c>
      <c r="M133">
        <v>811452.72</v>
      </c>
      <c r="N133">
        <v>131325.67000000001</v>
      </c>
      <c r="O133">
        <f t="shared" si="12"/>
        <v>1</v>
      </c>
      <c r="P133">
        <f t="shared" si="13"/>
        <v>0</v>
      </c>
      <c r="Q133">
        <f t="shared" si="14"/>
        <v>0</v>
      </c>
      <c r="R133">
        <f t="shared" si="15"/>
        <v>0</v>
      </c>
      <c r="S133">
        <f t="shared" si="16"/>
        <v>1</v>
      </c>
      <c r="T133">
        <f t="shared" si="17"/>
        <v>0</v>
      </c>
    </row>
    <row r="134" spans="1:20">
      <c r="A134" t="s">
        <v>55</v>
      </c>
      <c r="B134" s="2">
        <v>45658</v>
      </c>
      <c r="C134" t="s">
        <v>20</v>
      </c>
      <c r="D134" t="s">
        <v>18</v>
      </c>
      <c r="E134">
        <v>70276.28</v>
      </c>
      <c r="F134">
        <v>3043</v>
      </c>
      <c r="G134">
        <v>7.9000000000000001E-2</v>
      </c>
      <c r="H134">
        <v>9</v>
      </c>
      <c r="I134">
        <v>87.9</v>
      </c>
      <c r="J134">
        <v>3.77</v>
      </c>
      <c r="K134">
        <v>0</v>
      </c>
      <c r="L134">
        <v>4.4000000000000004</v>
      </c>
      <c r="M134">
        <v>527300.13</v>
      </c>
      <c r="N134">
        <v>84197.87</v>
      </c>
      <c r="O134">
        <f t="shared" si="12"/>
        <v>0</v>
      </c>
      <c r="P134">
        <f t="shared" si="13"/>
        <v>1</v>
      </c>
      <c r="Q134">
        <f t="shared" si="14"/>
        <v>0</v>
      </c>
      <c r="R134">
        <f t="shared" si="15"/>
        <v>0</v>
      </c>
      <c r="S134">
        <f t="shared" si="16"/>
        <v>1</v>
      </c>
      <c r="T134">
        <f t="shared" si="17"/>
        <v>0</v>
      </c>
    </row>
    <row r="135" spans="1:20">
      <c r="A135" t="s">
        <v>55</v>
      </c>
      <c r="B135" s="2">
        <v>45689</v>
      </c>
      <c r="C135" t="s">
        <v>20</v>
      </c>
      <c r="D135" t="s">
        <v>18</v>
      </c>
      <c r="E135">
        <v>22071.64</v>
      </c>
      <c r="F135">
        <v>1814</v>
      </c>
      <c r="G135">
        <v>0.19600000000000001</v>
      </c>
      <c r="H135">
        <v>8</v>
      </c>
      <c r="I135">
        <v>81.099999999999994</v>
      </c>
      <c r="J135">
        <v>0.78</v>
      </c>
      <c r="K135">
        <v>0</v>
      </c>
      <c r="L135">
        <f>3.924</f>
        <v>3.9239999999999999</v>
      </c>
      <c r="M135">
        <v>400831.65</v>
      </c>
      <c r="N135">
        <v>70979.31</v>
      </c>
      <c r="O135">
        <f t="shared" si="12"/>
        <v>0</v>
      </c>
      <c r="P135">
        <f t="shared" si="13"/>
        <v>1</v>
      </c>
      <c r="Q135">
        <f t="shared" si="14"/>
        <v>0</v>
      </c>
      <c r="R135">
        <f t="shared" si="15"/>
        <v>0</v>
      </c>
      <c r="S135">
        <f t="shared" si="16"/>
        <v>1</v>
      </c>
      <c r="T135">
        <f t="shared" si="17"/>
        <v>0</v>
      </c>
    </row>
    <row r="136" spans="1:20">
      <c r="A136" t="s">
        <v>55</v>
      </c>
      <c r="B136" s="2">
        <v>45717</v>
      </c>
      <c r="C136" t="s">
        <v>20</v>
      </c>
      <c r="D136" t="s">
        <v>18</v>
      </c>
      <c r="E136">
        <v>52285.45</v>
      </c>
      <c r="F136">
        <v>3618</v>
      </c>
      <c r="G136">
        <v>8.5999999999999993E-2</v>
      </c>
      <c r="H136">
        <v>11</v>
      </c>
      <c r="I136">
        <v>95.6</v>
      </c>
      <c r="J136">
        <v>5.17</v>
      </c>
      <c r="K136">
        <v>1</v>
      </c>
      <c r="L136">
        <v>4.4000000000000004</v>
      </c>
      <c r="M136">
        <v>593247.25</v>
      </c>
      <c r="N136">
        <v>81240.289999999994</v>
      </c>
      <c r="O136">
        <f t="shared" si="12"/>
        <v>0</v>
      </c>
      <c r="P136">
        <f t="shared" si="13"/>
        <v>1</v>
      </c>
      <c r="Q136">
        <f t="shared" si="14"/>
        <v>0</v>
      </c>
      <c r="R136">
        <f t="shared" si="15"/>
        <v>0</v>
      </c>
      <c r="S136">
        <f t="shared" si="16"/>
        <v>1</v>
      </c>
      <c r="T136">
        <f t="shared" si="17"/>
        <v>0</v>
      </c>
    </row>
    <row r="137" spans="1:20">
      <c r="A137" t="s">
        <v>55</v>
      </c>
      <c r="B137" s="2">
        <v>45748</v>
      </c>
      <c r="C137" t="s">
        <v>20</v>
      </c>
      <c r="D137" t="s">
        <v>18</v>
      </c>
      <c r="E137">
        <v>70366.759999999995</v>
      </c>
      <c r="F137">
        <v>1963</v>
      </c>
      <c r="G137">
        <v>0.182</v>
      </c>
      <c r="H137">
        <v>8</v>
      </c>
      <c r="I137">
        <v>89.8</v>
      </c>
      <c r="J137">
        <v>3.2</v>
      </c>
      <c r="K137">
        <v>0</v>
      </c>
      <c r="L137">
        <v>4.5999999999999996</v>
      </c>
      <c r="M137">
        <v>529075.94999999995</v>
      </c>
      <c r="N137">
        <v>95978.83</v>
      </c>
      <c r="O137">
        <f t="shared" si="12"/>
        <v>0</v>
      </c>
      <c r="P137">
        <f t="shared" si="13"/>
        <v>1</v>
      </c>
      <c r="Q137">
        <f t="shared" si="14"/>
        <v>0</v>
      </c>
      <c r="R137">
        <f t="shared" si="15"/>
        <v>0</v>
      </c>
      <c r="S137">
        <f t="shared" si="16"/>
        <v>1</v>
      </c>
      <c r="T137">
        <f t="shared" si="17"/>
        <v>0</v>
      </c>
    </row>
    <row r="138" spans="1:20">
      <c r="A138" t="s">
        <v>56</v>
      </c>
      <c r="B138" s="2">
        <v>45658</v>
      </c>
      <c r="C138" t="s">
        <v>24</v>
      </c>
      <c r="D138" t="s">
        <v>16</v>
      </c>
      <c r="E138">
        <v>71320.66</v>
      </c>
      <c r="F138">
        <v>7888</v>
      </c>
      <c r="G138">
        <v>4.8000000000000001E-2</v>
      </c>
      <c r="H138">
        <v>20</v>
      </c>
      <c r="I138">
        <v>78.099999999999994</v>
      </c>
      <c r="J138">
        <v>3.4</v>
      </c>
      <c r="K138">
        <v>0</v>
      </c>
      <c r="L138">
        <f>3.924</f>
        <v>3.9239999999999999</v>
      </c>
      <c r="M138">
        <v>633638.03</v>
      </c>
      <c r="N138">
        <v>99402.01</v>
      </c>
      <c r="O138">
        <f t="shared" si="12"/>
        <v>0</v>
      </c>
      <c r="P138">
        <f t="shared" si="13"/>
        <v>0</v>
      </c>
      <c r="Q138">
        <f t="shared" si="14"/>
        <v>1</v>
      </c>
      <c r="R138">
        <f t="shared" si="15"/>
        <v>1</v>
      </c>
      <c r="S138">
        <f t="shared" si="16"/>
        <v>0</v>
      </c>
      <c r="T138">
        <f t="shared" si="17"/>
        <v>0</v>
      </c>
    </row>
    <row r="139" spans="1:20">
      <c r="A139" t="s">
        <v>56</v>
      </c>
      <c r="B139" s="2">
        <v>45689</v>
      </c>
      <c r="C139" t="s">
        <v>24</v>
      </c>
      <c r="D139" t="s">
        <v>16</v>
      </c>
      <c r="E139">
        <v>75109.67</v>
      </c>
      <c r="F139">
        <v>6244</v>
      </c>
      <c r="G139">
        <v>7.9000000000000001E-2</v>
      </c>
      <c r="H139">
        <v>15</v>
      </c>
      <c r="I139">
        <v>96.3</v>
      </c>
      <c r="J139">
        <v>7.38</v>
      </c>
      <c r="K139">
        <v>0</v>
      </c>
      <c r="L139">
        <v>3.7</v>
      </c>
      <c r="M139">
        <v>743348.84</v>
      </c>
      <c r="N139">
        <v>104186.09</v>
      </c>
      <c r="O139">
        <f t="shared" si="12"/>
        <v>0</v>
      </c>
      <c r="P139">
        <f t="shared" si="13"/>
        <v>0</v>
      </c>
      <c r="Q139">
        <f t="shared" si="14"/>
        <v>1</v>
      </c>
      <c r="R139">
        <f t="shared" si="15"/>
        <v>1</v>
      </c>
      <c r="S139">
        <f t="shared" si="16"/>
        <v>0</v>
      </c>
      <c r="T139">
        <f t="shared" si="17"/>
        <v>0</v>
      </c>
    </row>
    <row r="140" spans="1:20">
      <c r="A140" t="s">
        <v>56</v>
      </c>
      <c r="B140" s="2">
        <v>45717</v>
      </c>
      <c r="C140" t="s">
        <v>24</v>
      </c>
      <c r="D140" t="s">
        <v>16</v>
      </c>
      <c r="E140">
        <v>69779</v>
      </c>
      <c r="F140">
        <v>6544</v>
      </c>
      <c r="G140">
        <v>0.152</v>
      </c>
      <c r="H140">
        <v>18</v>
      </c>
      <c r="I140">
        <v>90.2</v>
      </c>
      <c r="J140">
        <v>0.85</v>
      </c>
      <c r="K140">
        <v>1</v>
      </c>
      <c r="L140">
        <v>3.3</v>
      </c>
      <c r="M140">
        <v>758827.64</v>
      </c>
      <c r="N140">
        <v>161439.48000000001</v>
      </c>
      <c r="O140">
        <f t="shared" si="12"/>
        <v>0</v>
      </c>
      <c r="P140">
        <f t="shared" si="13"/>
        <v>0</v>
      </c>
      <c r="Q140">
        <f t="shared" si="14"/>
        <v>1</v>
      </c>
      <c r="R140">
        <f t="shared" si="15"/>
        <v>1</v>
      </c>
      <c r="S140">
        <f t="shared" si="16"/>
        <v>0</v>
      </c>
      <c r="T140">
        <f t="shared" si="17"/>
        <v>0</v>
      </c>
    </row>
    <row r="141" spans="1:20">
      <c r="A141" t="s">
        <v>56</v>
      </c>
      <c r="B141" s="2">
        <v>45748</v>
      </c>
      <c r="C141" t="s">
        <v>24</v>
      </c>
      <c r="D141" t="s">
        <v>16</v>
      </c>
      <c r="E141">
        <v>44211.95</v>
      </c>
      <c r="F141">
        <v>5465</v>
      </c>
      <c r="G141">
        <v>0.187</v>
      </c>
      <c r="H141">
        <v>12</v>
      </c>
      <c r="I141">
        <v>90</v>
      </c>
      <c r="J141">
        <v>2.89</v>
      </c>
      <c r="K141">
        <v>0</v>
      </c>
      <c r="L141">
        <v>3.6</v>
      </c>
      <c r="M141">
        <v>646559.71</v>
      </c>
      <c r="N141">
        <v>97981.75</v>
      </c>
      <c r="O141">
        <f t="shared" si="12"/>
        <v>0</v>
      </c>
      <c r="P141">
        <f t="shared" si="13"/>
        <v>0</v>
      </c>
      <c r="Q141">
        <f t="shared" si="14"/>
        <v>1</v>
      </c>
      <c r="R141">
        <f t="shared" si="15"/>
        <v>1</v>
      </c>
      <c r="S141">
        <f t="shared" si="16"/>
        <v>0</v>
      </c>
      <c r="T141">
        <f t="shared" si="17"/>
        <v>0</v>
      </c>
    </row>
    <row r="142" spans="1:20">
      <c r="A142" t="s">
        <v>57</v>
      </c>
      <c r="B142" s="2">
        <v>45658</v>
      </c>
      <c r="C142" t="s">
        <v>27</v>
      </c>
      <c r="D142" t="s">
        <v>18</v>
      </c>
      <c r="E142">
        <v>51430.31</v>
      </c>
      <c r="F142">
        <v>6427</v>
      </c>
      <c r="G142">
        <v>0.23400000000000001</v>
      </c>
      <c r="H142">
        <v>14</v>
      </c>
      <c r="I142">
        <v>88.8</v>
      </c>
      <c r="J142">
        <v>0.77</v>
      </c>
      <c r="K142">
        <v>0</v>
      </c>
      <c r="L142">
        <v>4.0999999999999996</v>
      </c>
      <c r="M142">
        <v>715890.53</v>
      </c>
      <c r="N142">
        <v>109032.15</v>
      </c>
      <c r="O142">
        <f t="shared" si="12"/>
        <v>0</v>
      </c>
      <c r="P142">
        <f t="shared" si="13"/>
        <v>0</v>
      </c>
      <c r="Q142">
        <f t="shared" si="14"/>
        <v>0</v>
      </c>
      <c r="R142">
        <f t="shared" si="15"/>
        <v>0</v>
      </c>
      <c r="S142">
        <f t="shared" si="16"/>
        <v>1</v>
      </c>
      <c r="T142">
        <f t="shared" si="17"/>
        <v>0</v>
      </c>
    </row>
    <row r="143" spans="1:20">
      <c r="A143" t="s">
        <v>57</v>
      </c>
      <c r="B143" s="2">
        <v>45689</v>
      </c>
      <c r="C143" t="s">
        <v>27</v>
      </c>
      <c r="D143" t="s">
        <v>18</v>
      </c>
      <c r="E143">
        <v>45706.49</v>
      </c>
      <c r="F143">
        <v>6704</v>
      </c>
      <c r="G143">
        <v>3.7999999999999999E-2</v>
      </c>
      <c r="H143">
        <v>15</v>
      </c>
      <c r="I143">
        <v>94.2</v>
      </c>
      <c r="J143">
        <v>2.92</v>
      </c>
      <c r="K143">
        <v>0</v>
      </c>
      <c r="L143">
        <v>4.2</v>
      </c>
      <c r="M143">
        <v>715097.57</v>
      </c>
      <c r="N143">
        <v>151875.85999999999</v>
      </c>
      <c r="O143">
        <f t="shared" si="12"/>
        <v>0</v>
      </c>
      <c r="P143">
        <f t="shared" si="13"/>
        <v>0</v>
      </c>
      <c r="Q143">
        <f t="shared" si="14"/>
        <v>0</v>
      </c>
      <c r="R143">
        <f t="shared" si="15"/>
        <v>0</v>
      </c>
      <c r="S143">
        <f t="shared" si="16"/>
        <v>1</v>
      </c>
      <c r="T143">
        <f t="shared" si="17"/>
        <v>0</v>
      </c>
    </row>
    <row r="144" spans="1:20">
      <c r="A144" t="s">
        <v>57</v>
      </c>
      <c r="B144" s="2">
        <v>45717</v>
      </c>
      <c r="C144" t="s">
        <v>27</v>
      </c>
      <c r="D144" t="s">
        <v>18</v>
      </c>
      <c r="E144">
        <v>44034.6</v>
      </c>
      <c r="F144">
        <v>5645</v>
      </c>
      <c r="G144">
        <v>6.9000000000000006E-2</v>
      </c>
      <c r="H144">
        <v>18</v>
      </c>
      <c r="I144">
        <v>88.5</v>
      </c>
      <c r="J144">
        <v>3.07</v>
      </c>
      <c r="K144">
        <v>0</v>
      </c>
      <c r="L144">
        <v>3.8</v>
      </c>
      <c r="M144">
        <v>682639.28</v>
      </c>
      <c r="N144">
        <v>77557.53</v>
      </c>
      <c r="O144">
        <f t="shared" si="12"/>
        <v>0</v>
      </c>
      <c r="P144">
        <f t="shared" si="13"/>
        <v>0</v>
      </c>
      <c r="Q144">
        <f t="shared" si="14"/>
        <v>0</v>
      </c>
      <c r="R144">
        <f t="shared" si="15"/>
        <v>0</v>
      </c>
      <c r="S144">
        <f t="shared" si="16"/>
        <v>1</v>
      </c>
      <c r="T144">
        <f t="shared" si="17"/>
        <v>0</v>
      </c>
    </row>
    <row r="145" spans="1:20">
      <c r="A145" t="s">
        <v>57</v>
      </c>
      <c r="B145" s="2">
        <v>45748</v>
      </c>
      <c r="C145" t="s">
        <v>27</v>
      </c>
      <c r="D145" t="s">
        <v>18</v>
      </c>
      <c r="E145">
        <v>50198.12</v>
      </c>
      <c r="F145">
        <v>6089</v>
      </c>
      <c r="G145">
        <v>0.182</v>
      </c>
      <c r="H145">
        <v>19</v>
      </c>
      <c r="I145">
        <v>94</v>
      </c>
      <c r="J145">
        <v>9.6999999999999993</v>
      </c>
      <c r="K145">
        <v>0</v>
      </c>
      <c r="L145">
        <v>3.9</v>
      </c>
      <c r="M145">
        <v>695098.51</v>
      </c>
      <c r="N145">
        <v>108192.75</v>
      </c>
      <c r="O145">
        <f t="shared" si="12"/>
        <v>0</v>
      </c>
      <c r="P145">
        <f t="shared" si="13"/>
        <v>0</v>
      </c>
      <c r="Q145">
        <f t="shared" si="14"/>
        <v>0</v>
      </c>
      <c r="R145">
        <f t="shared" si="15"/>
        <v>0</v>
      </c>
      <c r="S145">
        <f t="shared" si="16"/>
        <v>1</v>
      </c>
      <c r="T145">
        <f t="shared" si="17"/>
        <v>0</v>
      </c>
    </row>
    <row r="146" spans="1:20">
      <c r="A146" t="s">
        <v>58</v>
      </c>
      <c r="B146" s="2">
        <v>45658</v>
      </c>
      <c r="C146" t="s">
        <v>20</v>
      </c>
      <c r="D146" t="s">
        <v>16</v>
      </c>
      <c r="E146">
        <v>70488.2</v>
      </c>
      <c r="F146">
        <v>4312</v>
      </c>
      <c r="G146">
        <v>0.16900000000000001</v>
      </c>
      <c r="H146">
        <v>12</v>
      </c>
      <c r="I146">
        <v>90.2</v>
      </c>
      <c r="J146">
        <v>3.71</v>
      </c>
      <c r="K146">
        <v>0</v>
      </c>
      <c r="L146">
        <v>3.2</v>
      </c>
      <c r="M146">
        <v>577732.56999999995</v>
      </c>
      <c r="N146">
        <v>93804.27</v>
      </c>
      <c r="O146">
        <f t="shared" si="12"/>
        <v>0</v>
      </c>
      <c r="P146">
        <f t="shared" si="13"/>
        <v>1</v>
      </c>
      <c r="Q146">
        <f t="shared" si="14"/>
        <v>0</v>
      </c>
      <c r="R146">
        <f t="shared" si="15"/>
        <v>1</v>
      </c>
      <c r="S146">
        <f t="shared" si="16"/>
        <v>0</v>
      </c>
      <c r="T146">
        <f t="shared" si="17"/>
        <v>0</v>
      </c>
    </row>
    <row r="147" spans="1:20">
      <c r="A147" t="s">
        <v>58</v>
      </c>
      <c r="B147" s="2">
        <v>45689</v>
      </c>
      <c r="C147" t="s">
        <v>20</v>
      </c>
      <c r="D147" t="s">
        <v>16</v>
      </c>
      <c r="E147">
        <v>50909.27</v>
      </c>
      <c r="F147">
        <v>3152</v>
      </c>
      <c r="G147">
        <v>0.06</v>
      </c>
      <c r="H147">
        <v>13</v>
      </c>
      <c r="I147">
        <v>93.7</v>
      </c>
      <c r="J147">
        <v>10.79</v>
      </c>
      <c r="K147">
        <v>0</v>
      </c>
      <c r="L147">
        <v>3.5</v>
      </c>
      <c r="M147">
        <v>537058.32999999996</v>
      </c>
      <c r="N147">
        <v>93555.71</v>
      </c>
      <c r="O147">
        <f t="shared" si="12"/>
        <v>0</v>
      </c>
      <c r="P147">
        <f t="shared" si="13"/>
        <v>1</v>
      </c>
      <c r="Q147">
        <f t="shared" si="14"/>
        <v>0</v>
      </c>
      <c r="R147">
        <f t="shared" si="15"/>
        <v>1</v>
      </c>
      <c r="S147">
        <f t="shared" si="16"/>
        <v>0</v>
      </c>
      <c r="T147">
        <f t="shared" si="17"/>
        <v>0</v>
      </c>
    </row>
    <row r="148" spans="1:20">
      <c r="A148" t="s">
        <v>58</v>
      </c>
      <c r="B148" s="2">
        <v>45717</v>
      </c>
      <c r="C148" t="s">
        <v>20</v>
      </c>
      <c r="D148" t="s">
        <v>16</v>
      </c>
      <c r="E148">
        <v>53351.7</v>
      </c>
      <c r="F148">
        <v>4259</v>
      </c>
      <c r="G148">
        <v>0.156</v>
      </c>
      <c r="H148">
        <v>15</v>
      </c>
      <c r="I148">
        <v>93.7</v>
      </c>
      <c r="J148">
        <v>6.03</v>
      </c>
      <c r="K148">
        <v>0</v>
      </c>
      <c r="L148">
        <v>3.4</v>
      </c>
      <c r="M148">
        <v>601568.87</v>
      </c>
      <c r="N148">
        <v>91634.82</v>
      </c>
      <c r="O148">
        <f t="shared" si="12"/>
        <v>0</v>
      </c>
      <c r="P148">
        <f t="shared" si="13"/>
        <v>1</v>
      </c>
      <c r="Q148">
        <f t="shared" si="14"/>
        <v>0</v>
      </c>
      <c r="R148">
        <f t="shared" si="15"/>
        <v>1</v>
      </c>
      <c r="S148">
        <f t="shared" si="16"/>
        <v>0</v>
      </c>
      <c r="T148">
        <f t="shared" si="17"/>
        <v>0</v>
      </c>
    </row>
    <row r="149" spans="1:20">
      <c r="A149" t="s">
        <v>58</v>
      </c>
      <c r="B149" s="2">
        <v>45748</v>
      </c>
      <c r="C149" t="s">
        <v>20</v>
      </c>
      <c r="D149" t="s">
        <v>16</v>
      </c>
      <c r="E149">
        <v>60322.400000000001</v>
      </c>
      <c r="F149">
        <v>3350</v>
      </c>
      <c r="G149">
        <v>0.108</v>
      </c>
      <c r="H149">
        <v>12</v>
      </c>
      <c r="I149">
        <v>89.4</v>
      </c>
      <c r="J149">
        <v>4.92</v>
      </c>
      <c r="K149">
        <v>0</v>
      </c>
      <c r="L149">
        <v>3.4</v>
      </c>
      <c r="M149">
        <v>570964.84</v>
      </c>
      <c r="N149">
        <v>81331.070000000007</v>
      </c>
      <c r="O149">
        <f t="shared" si="12"/>
        <v>0</v>
      </c>
      <c r="P149">
        <f t="shared" si="13"/>
        <v>1</v>
      </c>
      <c r="Q149">
        <f t="shared" si="14"/>
        <v>0</v>
      </c>
      <c r="R149">
        <f t="shared" si="15"/>
        <v>1</v>
      </c>
      <c r="S149">
        <f t="shared" si="16"/>
        <v>0</v>
      </c>
      <c r="T149">
        <f t="shared" si="17"/>
        <v>0</v>
      </c>
    </row>
    <row r="150" spans="1:20">
      <c r="A150" t="s">
        <v>59</v>
      </c>
      <c r="B150" s="2">
        <v>45658</v>
      </c>
      <c r="C150" t="s">
        <v>24</v>
      </c>
      <c r="D150" t="s">
        <v>28</v>
      </c>
      <c r="E150">
        <v>51575.68</v>
      </c>
      <c r="F150">
        <v>5329</v>
      </c>
      <c r="G150">
        <v>4.7E-2</v>
      </c>
      <c r="H150">
        <v>17</v>
      </c>
      <c r="I150">
        <v>88.1</v>
      </c>
      <c r="J150">
        <v>19.78</v>
      </c>
      <c r="K150">
        <v>0</v>
      </c>
      <c r="L150">
        <v>3.8</v>
      </c>
      <c r="M150">
        <v>614024.91</v>
      </c>
      <c r="N150">
        <v>84828.93</v>
      </c>
      <c r="O150">
        <f t="shared" si="12"/>
        <v>0</v>
      </c>
      <c r="P150">
        <f t="shared" si="13"/>
        <v>0</v>
      </c>
      <c r="Q150">
        <f t="shared" si="14"/>
        <v>1</v>
      </c>
      <c r="R150">
        <f t="shared" si="15"/>
        <v>0</v>
      </c>
      <c r="S150">
        <f t="shared" si="16"/>
        <v>0</v>
      </c>
      <c r="T150">
        <f t="shared" si="17"/>
        <v>0</v>
      </c>
    </row>
    <row r="151" spans="1:20">
      <c r="A151" t="s">
        <v>59</v>
      </c>
      <c r="B151" s="2">
        <v>45689</v>
      </c>
      <c r="C151" t="s">
        <v>24</v>
      </c>
      <c r="D151" t="s">
        <v>28</v>
      </c>
      <c r="E151">
        <v>43319.94</v>
      </c>
      <c r="F151">
        <v>6551</v>
      </c>
      <c r="G151">
        <v>4.3999999999999997E-2</v>
      </c>
      <c r="H151">
        <v>13</v>
      </c>
      <c r="I151">
        <v>99</v>
      </c>
      <c r="J151">
        <v>5.45</v>
      </c>
      <c r="K151">
        <v>0</v>
      </c>
      <c r="L151">
        <v>4.0999999999999996</v>
      </c>
      <c r="M151">
        <v>712868.35</v>
      </c>
      <c r="N151">
        <v>133650.51</v>
      </c>
      <c r="O151">
        <f t="shared" si="12"/>
        <v>0</v>
      </c>
      <c r="P151">
        <f t="shared" si="13"/>
        <v>0</v>
      </c>
      <c r="Q151">
        <f t="shared" si="14"/>
        <v>1</v>
      </c>
      <c r="R151">
        <f t="shared" si="15"/>
        <v>0</v>
      </c>
      <c r="S151">
        <f t="shared" si="16"/>
        <v>0</v>
      </c>
      <c r="T151">
        <f t="shared" si="17"/>
        <v>0</v>
      </c>
    </row>
    <row r="152" spans="1:20">
      <c r="A152" t="s">
        <v>59</v>
      </c>
      <c r="B152" s="2">
        <v>45717</v>
      </c>
      <c r="C152" t="s">
        <v>24</v>
      </c>
      <c r="D152" t="s">
        <v>28</v>
      </c>
      <c r="E152">
        <v>47093.55</v>
      </c>
      <c r="F152">
        <v>5550</v>
      </c>
      <c r="G152">
        <v>0.1</v>
      </c>
      <c r="H152">
        <v>12</v>
      </c>
      <c r="I152">
        <v>95</v>
      </c>
      <c r="J152">
        <v>2.33</v>
      </c>
      <c r="K152">
        <v>1</v>
      </c>
      <c r="L152">
        <v>3.7</v>
      </c>
      <c r="M152">
        <v>696744.15</v>
      </c>
      <c r="N152">
        <v>152230.09</v>
      </c>
      <c r="O152">
        <f t="shared" si="12"/>
        <v>0</v>
      </c>
      <c r="P152">
        <f t="shared" si="13"/>
        <v>0</v>
      </c>
      <c r="Q152">
        <f t="shared" si="14"/>
        <v>1</v>
      </c>
      <c r="R152">
        <f t="shared" si="15"/>
        <v>0</v>
      </c>
      <c r="S152">
        <f t="shared" si="16"/>
        <v>0</v>
      </c>
      <c r="T152">
        <f t="shared" si="17"/>
        <v>0</v>
      </c>
    </row>
    <row r="153" spans="1:20">
      <c r="A153" t="s">
        <v>59</v>
      </c>
      <c r="B153" s="2">
        <v>45748</v>
      </c>
      <c r="C153" t="s">
        <v>24</v>
      </c>
      <c r="D153" t="s">
        <v>28</v>
      </c>
      <c r="E153">
        <v>71855.09</v>
      </c>
      <c r="F153">
        <v>5911</v>
      </c>
      <c r="G153">
        <v>0.19700000000000001</v>
      </c>
      <c r="H153">
        <v>15</v>
      </c>
      <c r="I153">
        <v>94.3</v>
      </c>
      <c r="J153">
        <v>3.55</v>
      </c>
      <c r="K153">
        <v>0</v>
      </c>
      <c r="L153">
        <v>4.0999999999999996</v>
      </c>
      <c r="M153">
        <v>725847.99</v>
      </c>
      <c r="N153">
        <v>122698.73</v>
      </c>
      <c r="O153">
        <f t="shared" si="12"/>
        <v>0</v>
      </c>
      <c r="P153">
        <f t="shared" si="13"/>
        <v>0</v>
      </c>
      <c r="Q153">
        <f t="shared" si="14"/>
        <v>1</v>
      </c>
      <c r="R153">
        <f t="shared" si="15"/>
        <v>0</v>
      </c>
      <c r="S153">
        <f t="shared" si="16"/>
        <v>0</v>
      </c>
      <c r="T153">
        <f t="shared" si="17"/>
        <v>0</v>
      </c>
    </row>
    <row r="154" spans="1:20">
      <c r="A154" t="s">
        <v>60</v>
      </c>
      <c r="B154" s="2">
        <v>45658</v>
      </c>
      <c r="C154" t="s">
        <v>15</v>
      </c>
      <c r="D154" t="s">
        <v>18</v>
      </c>
      <c r="E154">
        <v>75645.23</v>
      </c>
      <c r="F154">
        <v>9674</v>
      </c>
      <c r="G154">
        <v>0.23400000000000001</v>
      </c>
      <c r="H154">
        <v>21</v>
      </c>
      <c r="I154">
        <v>87.4</v>
      </c>
      <c r="J154">
        <v>0.2</v>
      </c>
      <c r="K154">
        <v>0</v>
      </c>
      <c r="L154">
        <v>4.5</v>
      </c>
      <c r="M154">
        <v>785028.25</v>
      </c>
      <c r="N154">
        <v>110726.44</v>
      </c>
      <c r="O154">
        <f t="shared" si="12"/>
        <v>1</v>
      </c>
      <c r="P154">
        <f t="shared" si="13"/>
        <v>0</v>
      </c>
      <c r="Q154">
        <f t="shared" si="14"/>
        <v>0</v>
      </c>
      <c r="R154">
        <f t="shared" si="15"/>
        <v>0</v>
      </c>
      <c r="S154">
        <f t="shared" si="16"/>
        <v>1</v>
      </c>
      <c r="T154">
        <f t="shared" si="17"/>
        <v>0</v>
      </c>
    </row>
    <row r="155" spans="1:20">
      <c r="A155" t="s">
        <v>60</v>
      </c>
      <c r="B155" s="2">
        <v>45689</v>
      </c>
      <c r="C155" t="s">
        <v>15</v>
      </c>
      <c r="D155" t="s">
        <v>18</v>
      </c>
      <c r="E155">
        <v>64374.75</v>
      </c>
      <c r="F155">
        <v>6740</v>
      </c>
      <c r="G155">
        <v>0.16900000000000001</v>
      </c>
      <c r="H155">
        <v>18</v>
      </c>
      <c r="I155">
        <v>87</v>
      </c>
      <c r="J155">
        <v>2.09</v>
      </c>
      <c r="K155">
        <v>0</v>
      </c>
      <c r="L155">
        <v>4.2</v>
      </c>
      <c r="M155">
        <v>698492.67</v>
      </c>
      <c r="N155">
        <v>117319.32</v>
      </c>
      <c r="O155">
        <f t="shared" si="12"/>
        <v>1</v>
      </c>
      <c r="P155">
        <f t="shared" si="13"/>
        <v>0</v>
      </c>
      <c r="Q155">
        <f t="shared" si="14"/>
        <v>0</v>
      </c>
      <c r="R155">
        <f t="shared" si="15"/>
        <v>0</v>
      </c>
      <c r="S155">
        <f t="shared" si="16"/>
        <v>1</v>
      </c>
      <c r="T155">
        <f t="shared" si="17"/>
        <v>0</v>
      </c>
    </row>
    <row r="156" spans="1:20">
      <c r="A156" t="s">
        <v>60</v>
      </c>
      <c r="B156" s="2">
        <v>45717</v>
      </c>
      <c r="C156" t="s">
        <v>15</v>
      </c>
      <c r="D156" t="s">
        <v>18</v>
      </c>
      <c r="E156">
        <v>61433.84</v>
      </c>
      <c r="F156">
        <v>7745</v>
      </c>
      <c r="G156">
        <v>0.18</v>
      </c>
      <c r="H156">
        <v>16</v>
      </c>
      <c r="I156">
        <v>90.5</v>
      </c>
      <c r="J156">
        <v>2.2599999999999998</v>
      </c>
      <c r="K156">
        <v>0</v>
      </c>
      <c r="L156">
        <v>4.2</v>
      </c>
      <c r="M156">
        <v>685830.24</v>
      </c>
      <c r="N156">
        <v>128736.18</v>
      </c>
      <c r="O156">
        <f t="shared" si="12"/>
        <v>1</v>
      </c>
      <c r="P156">
        <f t="shared" si="13"/>
        <v>0</v>
      </c>
      <c r="Q156">
        <f t="shared" si="14"/>
        <v>0</v>
      </c>
      <c r="R156">
        <f t="shared" si="15"/>
        <v>0</v>
      </c>
      <c r="S156">
        <f t="shared" si="16"/>
        <v>1</v>
      </c>
      <c r="T156">
        <f t="shared" si="17"/>
        <v>0</v>
      </c>
    </row>
    <row r="157" spans="1:20">
      <c r="A157" t="s">
        <v>60</v>
      </c>
      <c r="B157" s="2">
        <v>45748</v>
      </c>
      <c r="C157" t="s">
        <v>15</v>
      </c>
      <c r="D157" t="s">
        <v>18</v>
      </c>
      <c r="E157">
        <v>42698.14</v>
      </c>
      <c r="F157">
        <v>7693</v>
      </c>
      <c r="G157">
        <v>0.187</v>
      </c>
      <c r="H157">
        <v>19</v>
      </c>
      <c r="I157">
        <v>90.1</v>
      </c>
      <c r="J157">
        <v>0.44</v>
      </c>
      <c r="K157">
        <v>0</v>
      </c>
      <c r="L157">
        <v>4.4000000000000004</v>
      </c>
      <c r="M157">
        <v>702318.94</v>
      </c>
      <c r="N157">
        <v>112829.29</v>
      </c>
      <c r="O157">
        <f t="shared" si="12"/>
        <v>1</v>
      </c>
      <c r="P157">
        <f t="shared" si="13"/>
        <v>0</v>
      </c>
      <c r="Q157">
        <f t="shared" si="14"/>
        <v>0</v>
      </c>
      <c r="R157">
        <f t="shared" si="15"/>
        <v>0</v>
      </c>
      <c r="S157">
        <f t="shared" si="16"/>
        <v>1</v>
      </c>
      <c r="T157">
        <f t="shared" si="17"/>
        <v>0</v>
      </c>
    </row>
    <row r="158" spans="1:20">
      <c r="A158" t="s">
        <v>61</v>
      </c>
      <c r="B158" s="2">
        <v>45658</v>
      </c>
      <c r="C158" t="s">
        <v>20</v>
      </c>
      <c r="D158" t="s">
        <v>28</v>
      </c>
      <c r="E158">
        <v>86883.31</v>
      </c>
      <c r="F158">
        <v>6424</v>
      </c>
      <c r="G158">
        <v>5.7000000000000002E-2</v>
      </c>
      <c r="H158">
        <v>19</v>
      </c>
      <c r="I158">
        <v>85.2</v>
      </c>
      <c r="J158">
        <v>3.08</v>
      </c>
      <c r="K158">
        <v>0</v>
      </c>
      <c r="L158">
        <v>3.9</v>
      </c>
      <c r="M158">
        <v>700078.32</v>
      </c>
      <c r="N158">
        <v>123707.58</v>
      </c>
      <c r="O158">
        <f t="shared" si="12"/>
        <v>0</v>
      </c>
      <c r="P158">
        <f t="shared" si="13"/>
        <v>1</v>
      </c>
      <c r="Q158">
        <f t="shared" si="14"/>
        <v>0</v>
      </c>
      <c r="R158">
        <f t="shared" si="15"/>
        <v>0</v>
      </c>
      <c r="S158">
        <f t="shared" si="16"/>
        <v>0</v>
      </c>
      <c r="T158">
        <f t="shared" si="17"/>
        <v>0</v>
      </c>
    </row>
    <row r="159" spans="1:20">
      <c r="A159" t="s">
        <v>61</v>
      </c>
      <c r="B159" s="2">
        <v>45689</v>
      </c>
      <c r="C159" t="s">
        <v>20</v>
      </c>
      <c r="D159" t="s">
        <v>28</v>
      </c>
      <c r="E159">
        <v>41863.08</v>
      </c>
      <c r="F159">
        <v>5400</v>
      </c>
      <c r="G159">
        <v>0.114</v>
      </c>
      <c r="H159">
        <v>11</v>
      </c>
      <c r="I159">
        <v>91.6</v>
      </c>
      <c r="J159">
        <v>7.99</v>
      </c>
      <c r="K159">
        <v>0</v>
      </c>
      <c r="L159">
        <v>3</v>
      </c>
      <c r="M159">
        <v>602002.31999999995</v>
      </c>
      <c r="N159">
        <v>110453.28</v>
      </c>
      <c r="O159">
        <f t="shared" si="12"/>
        <v>0</v>
      </c>
      <c r="P159">
        <f t="shared" si="13"/>
        <v>1</v>
      </c>
      <c r="Q159">
        <f t="shared" si="14"/>
        <v>0</v>
      </c>
      <c r="R159">
        <f t="shared" si="15"/>
        <v>0</v>
      </c>
      <c r="S159">
        <f t="shared" si="16"/>
        <v>0</v>
      </c>
      <c r="T159">
        <f t="shared" si="17"/>
        <v>0</v>
      </c>
    </row>
    <row r="160" spans="1:20">
      <c r="A160" t="s">
        <v>61</v>
      </c>
      <c r="B160" s="2">
        <v>45717</v>
      </c>
      <c r="C160" t="s">
        <v>20</v>
      </c>
      <c r="D160" t="s">
        <v>28</v>
      </c>
      <c r="E160">
        <v>56918.16</v>
      </c>
      <c r="F160">
        <v>7015</v>
      </c>
      <c r="G160">
        <v>0.158</v>
      </c>
      <c r="H160">
        <v>18</v>
      </c>
      <c r="I160">
        <v>74.2</v>
      </c>
      <c r="J160">
        <v>0.2</v>
      </c>
      <c r="K160">
        <v>0</v>
      </c>
      <c r="L160">
        <v>3.4</v>
      </c>
      <c r="M160">
        <v>724216.07</v>
      </c>
      <c r="N160">
        <v>100627.56</v>
      </c>
      <c r="O160">
        <f t="shared" si="12"/>
        <v>0</v>
      </c>
      <c r="P160">
        <f t="shared" si="13"/>
        <v>1</v>
      </c>
      <c r="Q160">
        <f t="shared" si="14"/>
        <v>0</v>
      </c>
      <c r="R160">
        <f t="shared" si="15"/>
        <v>0</v>
      </c>
      <c r="S160">
        <f t="shared" si="16"/>
        <v>0</v>
      </c>
      <c r="T160">
        <f t="shared" si="17"/>
        <v>0</v>
      </c>
    </row>
    <row r="161" spans="1:20">
      <c r="A161" t="s">
        <v>61</v>
      </c>
      <c r="B161" s="2">
        <v>45748</v>
      </c>
      <c r="C161" t="s">
        <v>20</v>
      </c>
      <c r="D161" t="s">
        <v>28</v>
      </c>
      <c r="E161">
        <v>23254.57</v>
      </c>
      <c r="F161">
        <v>3847</v>
      </c>
      <c r="G161">
        <v>0.159</v>
      </c>
      <c r="H161">
        <v>12</v>
      </c>
      <c r="I161">
        <v>93</v>
      </c>
      <c r="J161">
        <v>5.46</v>
      </c>
      <c r="K161">
        <v>0</v>
      </c>
      <c r="L161">
        <v>3.3</v>
      </c>
      <c r="M161">
        <v>620973.03</v>
      </c>
      <c r="N161">
        <v>72303.850000000006</v>
      </c>
      <c r="O161">
        <f t="shared" si="12"/>
        <v>0</v>
      </c>
      <c r="P161">
        <f t="shared" si="13"/>
        <v>1</v>
      </c>
      <c r="Q161">
        <f t="shared" si="14"/>
        <v>0</v>
      </c>
      <c r="R161">
        <f t="shared" si="15"/>
        <v>0</v>
      </c>
      <c r="S161">
        <f t="shared" si="16"/>
        <v>0</v>
      </c>
      <c r="T161">
        <f t="shared" si="17"/>
        <v>0</v>
      </c>
    </row>
    <row r="162" spans="1:20">
      <c r="A162" t="s">
        <v>62</v>
      </c>
      <c r="B162" s="2">
        <v>45658</v>
      </c>
      <c r="C162" t="s">
        <v>24</v>
      </c>
      <c r="D162" t="s">
        <v>18</v>
      </c>
      <c r="E162">
        <v>41443.410000000003</v>
      </c>
      <c r="F162">
        <v>7455</v>
      </c>
      <c r="G162">
        <v>0.17499999999999999</v>
      </c>
      <c r="H162">
        <v>16</v>
      </c>
      <c r="I162">
        <v>90.1</v>
      </c>
      <c r="J162">
        <v>4.05</v>
      </c>
      <c r="K162">
        <v>0</v>
      </c>
      <c r="L162">
        <v>4</v>
      </c>
      <c r="M162">
        <v>650480.06000000006</v>
      </c>
      <c r="N162">
        <v>109012.07</v>
      </c>
      <c r="O162">
        <f t="shared" si="12"/>
        <v>0</v>
      </c>
      <c r="P162">
        <f t="shared" si="13"/>
        <v>0</v>
      </c>
      <c r="Q162">
        <f t="shared" si="14"/>
        <v>1</v>
      </c>
      <c r="R162">
        <f t="shared" si="15"/>
        <v>0</v>
      </c>
      <c r="S162">
        <f t="shared" si="16"/>
        <v>1</v>
      </c>
      <c r="T162">
        <f t="shared" si="17"/>
        <v>0</v>
      </c>
    </row>
    <row r="163" spans="1:20">
      <c r="A163" t="s">
        <v>62</v>
      </c>
      <c r="B163" s="2">
        <v>45689</v>
      </c>
      <c r="C163" t="s">
        <v>24</v>
      </c>
      <c r="D163" t="s">
        <v>18</v>
      </c>
      <c r="E163">
        <v>48438.85</v>
      </c>
      <c r="F163">
        <v>6992</v>
      </c>
      <c r="G163">
        <v>3.4000000000000002E-2</v>
      </c>
      <c r="H163">
        <v>20</v>
      </c>
      <c r="I163">
        <v>91</v>
      </c>
      <c r="J163">
        <v>4.3600000000000003</v>
      </c>
      <c r="K163">
        <v>0</v>
      </c>
      <c r="L163">
        <v>4.2</v>
      </c>
      <c r="M163">
        <v>778298.88</v>
      </c>
      <c r="N163">
        <v>130076.72</v>
      </c>
      <c r="O163">
        <f t="shared" si="12"/>
        <v>0</v>
      </c>
      <c r="P163">
        <f t="shared" si="13"/>
        <v>0</v>
      </c>
      <c r="Q163">
        <f t="shared" si="14"/>
        <v>1</v>
      </c>
      <c r="R163">
        <f t="shared" si="15"/>
        <v>0</v>
      </c>
      <c r="S163">
        <f t="shared" si="16"/>
        <v>1</v>
      </c>
      <c r="T163">
        <f t="shared" si="17"/>
        <v>0</v>
      </c>
    </row>
    <row r="164" spans="1:20">
      <c r="A164" t="s">
        <v>62</v>
      </c>
      <c r="B164" s="2">
        <v>45717</v>
      </c>
      <c r="C164" t="s">
        <v>24</v>
      </c>
      <c r="D164" t="s">
        <v>18</v>
      </c>
      <c r="E164">
        <v>57143.3</v>
      </c>
      <c r="F164">
        <v>8038</v>
      </c>
      <c r="G164">
        <v>0.193</v>
      </c>
      <c r="H164">
        <v>17</v>
      </c>
      <c r="I164">
        <v>72.599999999999994</v>
      </c>
      <c r="J164">
        <f>O2</f>
        <v>1</v>
      </c>
      <c r="K164">
        <v>0</v>
      </c>
      <c r="L164">
        <v>4.2</v>
      </c>
      <c r="M164">
        <v>677096.71</v>
      </c>
      <c r="N164">
        <v>97174.11</v>
      </c>
      <c r="O164">
        <f t="shared" si="12"/>
        <v>0</v>
      </c>
      <c r="P164">
        <f t="shared" si="13"/>
        <v>0</v>
      </c>
      <c r="Q164">
        <f t="shared" si="14"/>
        <v>1</v>
      </c>
      <c r="R164">
        <f t="shared" si="15"/>
        <v>0</v>
      </c>
      <c r="S164">
        <f t="shared" si="16"/>
        <v>1</v>
      </c>
      <c r="T164">
        <f t="shared" si="17"/>
        <v>0</v>
      </c>
    </row>
    <row r="165" spans="1:20">
      <c r="A165" t="s">
        <v>62</v>
      </c>
      <c r="B165" s="2">
        <v>45748</v>
      </c>
      <c r="C165" t="s">
        <v>24</v>
      </c>
      <c r="D165" t="s">
        <v>18</v>
      </c>
      <c r="E165">
        <v>66870.62</v>
      </c>
      <c r="F165">
        <v>6055</v>
      </c>
      <c r="G165">
        <v>7.4999999999999997E-2</v>
      </c>
      <c r="H165">
        <v>19</v>
      </c>
      <c r="I165">
        <v>93.8</v>
      </c>
      <c r="J165">
        <v>0.54</v>
      </c>
      <c r="K165">
        <v>0</v>
      </c>
      <c r="L165">
        <v>4.3</v>
      </c>
      <c r="M165">
        <v>692008.64</v>
      </c>
      <c r="N165">
        <v>116337.87</v>
      </c>
      <c r="O165">
        <f t="shared" si="12"/>
        <v>0</v>
      </c>
      <c r="P165">
        <f t="shared" si="13"/>
        <v>0</v>
      </c>
      <c r="Q165">
        <f t="shared" si="14"/>
        <v>1</v>
      </c>
      <c r="R165">
        <f t="shared" si="15"/>
        <v>0</v>
      </c>
      <c r="S165">
        <f t="shared" si="16"/>
        <v>1</v>
      </c>
      <c r="T165">
        <f t="shared" si="17"/>
        <v>0</v>
      </c>
    </row>
    <row r="166" spans="1:20">
      <c r="A166" t="s">
        <v>63</v>
      </c>
      <c r="B166" s="2">
        <v>45658</v>
      </c>
      <c r="C166" t="s">
        <v>20</v>
      </c>
      <c r="D166" t="s">
        <v>28</v>
      </c>
      <c r="E166">
        <v>72150.53</v>
      </c>
      <c r="F166">
        <v>9323</v>
      </c>
      <c r="G166">
        <v>0.157</v>
      </c>
      <c r="H166">
        <v>22</v>
      </c>
      <c r="I166">
        <v>82.9</v>
      </c>
      <c r="J166">
        <v>11.37</v>
      </c>
      <c r="K166">
        <v>1</v>
      </c>
      <c r="L166">
        <v>4.3</v>
      </c>
      <c r="M166">
        <v>825797.91</v>
      </c>
      <c r="N166">
        <v>130945.24</v>
      </c>
      <c r="O166">
        <f t="shared" si="12"/>
        <v>0</v>
      </c>
      <c r="P166">
        <f t="shared" si="13"/>
        <v>1</v>
      </c>
      <c r="Q166">
        <f t="shared" si="14"/>
        <v>0</v>
      </c>
      <c r="R166">
        <f t="shared" si="15"/>
        <v>0</v>
      </c>
      <c r="S166">
        <f t="shared" si="16"/>
        <v>0</v>
      </c>
      <c r="T166">
        <f t="shared" si="17"/>
        <v>0</v>
      </c>
    </row>
    <row r="167" spans="1:20">
      <c r="A167" t="s">
        <v>63</v>
      </c>
      <c r="B167" s="2">
        <v>45689</v>
      </c>
      <c r="C167" t="s">
        <v>20</v>
      </c>
      <c r="D167" t="s">
        <v>28</v>
      </c>
      <c r="E167">
        <v>35303.300000000003</v>
      </c>
      <c r="F167">
        <v>8789</v>
      </c>
      <c r="G167">
        <v>0.123</v>
      </c>
      <c r="H167">
        <v>22</v>
      </c>
      <c r="I167">
        <v>86.1</v>
      </c>
      <c r="J167">
        <v>9.43</v>
      </c>
      <c r="K167">
        <v>0</v>
      </c>
      <c r="L167">
        <v>4.2</v>
      </c>
      <c r="M167">
        <v>706285.52</v>
      </c>
      <c r="N167">
        <v>138014.72</v>
      </c>
      <c r="O167">
        <f t="shared" si="12"/>
        <v>0</v>
      </c>
      <c r="P167">
        <f t="shared" si="13"/>
        <v>1</v>
      </c>
      <c r="Q167">
        <f t="shared" si="14"/>
        <v>0</v>
      </c>
      <c r="R167">
        <f t="shared" si="15"/>
        <v>0</v>
      </c>
      <c r="S167">
        <f t="shared" si="16"/>
        <v>0</v>
      </c>
      <c r="T167">
        <f t="shared" si="17"/>
        <v>0</v>
      </c>
    </row>
    <row r="168" spans="1:20">
      <c r="A168" t="s">
        <v>63</v>
      </c>
      <c r="B168" s="2">
        <v>45717</v>
      </c>
      <c r="C168" t="s">
        <v>20</v>
      </c>
      <c r="D168" t="s">
        <v>28</v>
      </c>
      <c r="E168">
        <v>30301.86</v>
      </c>
      <c r="F168">
        <v>6939</v>
      </c>
      <c r="G168">
        <v>0.09</v>
      </c>
      <c r="H168">
        <v>16</v>
      </c>
      <c r="I168">
        <v>90.3</v>
      </c>
      <c r="J168">
        <v>3.49</v>
      </c>
      <c r="K168">
        <v>0</v>
      </c>
      <c r="L168">
        <v>4</v>
      </c>
      <c r="M168">
        <v>665534.69999999995</v>
      </c>
      <c r="N168">
        <v>113167.73</v>
      </c>
      <c r="O168">
        <f t="shared" si="12"/>
        <v>0</v>
      </c>
      <c r="P168">
        <f t="shared" si="13"/>
        <v>1</v>
      </c>
      <c r="Q168">
        <f t="shared" si="14"/>
        <v>0</v>
      </c>
      <c r="R168">
        <f t="shared" si="15"/>
        <v>0</v>
      </c>
      <c r="S168">
        <f t="shared" si="16"/>
        <v>0</v>
      </c>
      <c r="T168">
        <f t="shared" si="17"/>
        <v>0</v>
      </c>
    </row>
    <row r="169" spans="1:20">
      <c r="A169" t="s">
        <v>63</v>
      </c>
      <c r="B169" s="2">
        <v>45748</v>
      </c>
      <c r="C169" t="s">
        <v>20</v>
      </c>
      <c r="D169" t="s">
        <v>28</v>
      </c>
      <c r="E169">
        <v>78432.14</v>
      </c>
      <c r="F169">
        <v>9440</v>
      </c>
      <c r="G169">
        <v>0.126</v>
      </c>
      <c r="H169">
        <v>23</v>
      </c>
      <c r="I169">
        <v>89.2</v>
      </c>
      <c r="J169">
        <v>7.86</v>
      </c>
      <c r="K169">
        <v>0</v>
      </c>
      <c r="L169">
        <v>4.0999999999999996</v>
      </c>
      <c r="M169">
        <v>820729.29</v>
      </c>
      <c r="N169">
        <v>159325.47</v>
      </c>
      <c r="O169">
        <f t="shared" si="12"/>
        <v>0</v>
      </c>
      <c r="P169">
        <f t="shared" si="13"/>
        <v>1</v>
      </c>
      <c r="Q169">
        <f t="shared" si="14"/>
        <v>0</v>
      </c>
      <c r="R169">
        <f t="shared" si="15"/>
        <v>0</v>
      </c>
      <c r="S169">
        <f t="shared" si="16"/>
        <v>0</v>
      </c>
      <c r="T169">
        <f t="shared" si="17"/>
        <v>0</v>
      </c>
    </row>
    <row r="170" spans="1:20">
      <c r="A170" t="s">
        <v>64</v>
      </c>
      <c r="B170" s="2">
        <v>45658</v>
      </c>
      <c r="C170" t="s">
        <v>15</v>
      </c>
      <c r="D170" t="s">
        <v>16</v>
      </c>
      <c r="E170">
        <v>62059.18</v>
      </c>
      <c r="F170">
        <v>9374</v>
      </c>
      <c r="G170">
        <v>0.13600000000000001</v>
      </c>
      <c r="H170">
        <v>25</v>
      </c>
      <c r="I170">
        <v>87.1</v>
      </c>
      <c r="J170">
        <v>12.55</v>
      </c>
      <c r="K170">
        <v>0</v>
      </c>
      <c r="L170">
        <v>4.9000000000000004</v>
      </c>
      <c r="M170">
        <v>739831.73</v>
      </c>
      <c r="N170">
        <v>119490.21</v>
      </c>
      <c r="O170">
        <f t="shared" si="12"/>
        <v>1</v>
      </c>
      <c r="P170">
        <f t="shared" si="13"/>
        <v>0</v>
      </c>
      <c r="Q170">
        <f t="shared" si="14"/>
        <v>0</v>
      </c>
      <c r="R170">
        <f t="shared" si="15"/>
        <v>1</v>
      </c>
      <c r="S170">
        <f t="shared" si="16"/>
        <v>0</v>
      </c>
      <c r="T170">
        <f t="shared" si="17"/>
        <v>0</v>
      </c>
    </row>
    <row r="171" spans="1:20">
      <c r="A171" t="s">
        <v>64</v>
      </c>
      <c r="B171" s="2">
        <v>45689</v>
      </c>
      <c r="C171" t="s">
        <v>15</v>
      </c>
      <c r="D171" t="s">
        <v>16</v>
      </c>
      <c r="E171">
        <v>32834.480000000003</v>
      </c>
      <c r="F171">
        <v>7576</v>
      </c>
      <c r="G171">
        <v>9.9000000000000005E-2</v>
      </c>
      <c r="H171">
        <v>15</v>
      </c>
      <c r="I171">
        <v>84.1</v>
      </c>
      <c r="J171">
        <v>3.48</v>
      </c>
      <c r="K171">
        <v>0</v>
      </c>
      <c r="L171">
        <v>5</v>
      </c>
      <c r="M171">
        <v>593637.14</v>
      </c>
      <c r="N171">
        <v>106648.14</v>
      </c>
      <c r="O171">
        <f t="shared" si="12"/>
        <v>1</v>
      </c>
      <c r="P171">
        <f t="shared" si="13"/>
        <v>0</v>
      </c>
      <c r="Q171">
        <f t="shared" si="14"/>
        <v>0</v>
      </c>
      <c r="R171">
        <f t="shared" si="15"/>
        <v>1</v>
      </c>
      <c r="S171">
        <f t="shared" si="16"/>
        <v>0</v>
      </c>
      <c r="T171">
        <f t="shared" si="17"/>
        <v>0</v>
      </c>
    </row>
    <row r="172" spans="1:20">
      <c r="A172" t="s">
        <v>64</v>
      </c>
      <c r="B172" s="2">
        <v>45717</v>
      </c>
      <c r="C172" t="s">
        <v>15</v>
      </c>
      <c r="D172" t="s">
        <v>16</v>
      </c>
      <c r="E172">
        <v>50825.08</v>
      </c>
      <c r="F172">
        <v>8949</v>
      </c>
      <c r="G172">
        <v>0.157</v>
      </c>
      <c r="H172">
        <v>21</v>
      </c>
      <c r="I172">
        <v>84.7</v>
      </c>
      <c r="J172">
        <v>7.73</v>
      </c>
      <c r="K172">
        <v>0</v>
      </c>
      <c r="L172">
        <v>4.9000000000000004</v>
      </c>
      <c r="M172">
        <v>769702.76</v>
      </c>
      <c r="N172">
        <v>158697</v>
      </c>
      <c r="O172">
        <f t="shared" si="12"/>
        <v>1</v>
      </c>
      <c r="P172">
        <f t="shared" si="13"/>
        <v>0</v>
      </c>
      <c r="Q172">
        <f t="shared" si="14"/>
        <v>0</v>
      </c>
      <c r="R172">
        <f t="shared" si="15"/>
        <v>1</v>
      </c>
      <c r="S172">
        <f t="shared" si="16"/>
        <v>0</v>
      </c>
      <c r="T172">
        <f t="shared" si="17"/>
        <v>0</v>
      </c>
    </row>
    <row r="173" spans="1:20">
      <c r="A173" t="s">
        <v>64</v>
      </c>
      <c r="B173" s="2">
        <v>45748</v>
      </c>
      <c r="C173" t="s">
        <v>15</v>
      </c>
      <c r="D173" t="s">
        <v>16</v>
      </c>
      <c r="E173">
        <v>36606.51</v>
      </c>
      <c r="F173">
        <v>7671</v>
      </c>
      <c r="G173">
        <v>0.11799999999999999</v>
      </c>
      <c r="H173">
        <v>18</v>
      </c>
      <c r="I173">
        <v>89.8</v>
      </c>
      <c r="J173">
        <v>0.25</v>
      </c>
      <c r="K173">
        <v>0</v>
      </c>
      <c r="L173">
        <v>4.4000000000000004</v>
      </c>
      <c r="M173">
        <v>679731.57</v>
      </c>
      <c r="N173">
        <v>121546.42</v>
      </c>
      <c r="O173">
        <f t="shared" si="12"/>
        <v>1</v>
      </c>
      <c r="P173">
        <f t="shared" si="13"/>
        <v>0</v>
      </c>
      <c r="Q173">
        <f t="shared" si="14"/>
        <v>0</v>
      </c>
      <c r="R173">
        <f t="shared" si="15"/>
        <v>1</v>
      </c>
      <c r="S173">
        <f t="shared" si="16"/>
        <v>0</v>
      </c>
      <c r="T173">
        <f t="shared" si="17"/>
        <v>0</v>
      </c>
    </row>
    <row r="174" spans="1:20">
      <c r="A174" t="s">
        <v>65</v>
      </c>
      <c r="B174" s="2">
        <v>45658</v>
      </c>
      <c r="C174" t="s">
        <v>15</v>
      </c>
      <c r="D174" t="s">
        <v>16</v>
      </c>
      <c r="E174">
        <v>65237.79</v>
      </c>
      <c r="F174">
        <v>8741</v>
      </c>
      <c r="G174">
        <v>0.157</v>
      </c>
      <c r="H174">
        <v>20</v>
      </c>
      <c r="I174">
        <v>94.4</v>
      </c>
      <c r="J174">
        <v>6.43</v>
      </c>
      <c r="K174">
        <v>0</v>
      </c>
      <c r="L174">
        <v>3.3</v>
      </c>
      <c r="M174">
        <v>780344.18</v>
      </c>
      <c r="N174">
        <v>118239.09</v>
      </c>
      <c r="O174">
        <f t="shared" si="12"/>
        <v>1</v>
      </c>
      <c r="P174">
        <f t="shared" si="13"/>
        <v>0</v>
      </c>
      <c r="Q174">
        <f t="shared" si="14"/>
        <v>0</v>
      </c>
      <c r="R174">
        <f t="shared" si="15"/>
        <v>1</v>
      </c>
      <c r="S174">
        <f t="shared" si="16"/>
        <v>0</v>
      </c>
      <c r="T174">
        <f t="shared" si="17"/>
        <v>0</v>
      </c>
    </row>
    <row r="175" spans="1:20">
      <c r="A175" t="s">
        <v>65</v>
      </c>
      <c r="B175" s="2">
        <v>45689</v>
      </c>
      <c r="C175" t="s">
        <v>15</v>
      </c>
      <c r="D175" t="s">
        <v>16</v>
      </c>
      <c r="E175">
        <v>43645.98</v>
      </c>
      <c r="F175">
        <v>9480</v>
      </c>
      <c r="G175">
        <v>0.109</v>
      </c>
      <c r="H175">
        <v>22</v>
      </c>
      <c r="I175">
        <v>89</v>
      </c>
      <c r="J175">
        <v>2.11</v>
      </c>
      <c r="K175">
        <v>0</v>
      </c>
      <c r="L175">
        <v>3.1</v>
      </c>
      <c r="M175">
        <v>721364.11</v>
      </c>
      <c r="N175">
        <v>147272.81</v>
      </c>
      <c r="O175">
        <f t="shared" si="12"/>
        <v>1</v>
      </c>
      <c r="P175">
        <f t="shared" si="13"/>
        <v>0</v>
      </c>
      <c r="Q175">
        <f t="shared" si="14"/>
        <v>0</v>
      </c>
      <c r="R175">
        <f t="shared" si="15"/>
        <v>1</v>
      </c>
      <c r="S175">
        <f t="shared" si="16"/>
        <v>0</v>
      </c>
      <c r="T175">
        <f t="shared" si="17"/>
        <v>0</v>
      </c>
    </row>
    <row r="176" spans="1:20">
      <c r="A176" t="s">
        <v>65</v>
      </c>
      <c r="B176" s="2">
        <v>45717</v>
      </c>
      <c r="C176" t="s">
        <v>15</v>
      </c>
      <c r="D176" t="s">
        <v>16</v>
      </c>
      <c r="E176">
        <v>68040.149999999994</v>
      </c>
      <c r="F176">
        <v>9826</v>
      </c>
      <c r="G176">
        <v>0.125</v>
      </c>
      <c r="H176">
        <v>20</v>
      </c>
      <c r="I176">
        <v>83.9</v>
      </c>
      <c r="J176">
        <v>9.1199999999999992</v>
      </c>
      <c r="K176">
        <v>0</v>
      </c>
      <c r="L176">
        <v>3.6</v>
      </c>
      <c r="M176">
        <v>758138.29</v>
      </c>
      <c r="N176">
        <v>132975.26</v>
      </c>
      <c r="O176">
        <f t="shared" si="12"/>
        <v>1</v>
      </c>
      <c r="P176">
        <f t="shared" si="13"/>
        <v>0</v>
      </c>
      <c r="Q176">
        <f t="shared" si="14"/>
        <v>0</v>
      </c>
      <c r="R176">
        <f t="shared" si="15"/>
        <v>1</v>
      </c>
      <c r="S176">
        <f t="shared" si="16"/>
        <v>0</v>
      </c>
      <c r="T176">
        <f t="shared" si="17"/>
        <v>0</v>
      </c>
    </row>
    <row r="177" spans="1:20">
      <c r="A177" t="s">
        <v>65</v>
      </c>
      <c r="B177" s="2">
        <v>45748</v>
      </c>
      <c r="C177" t="s">
        <v>15</v>
      </c>
      <c r="D177" t="s">
        <v>16</v>
      </c>
      <c r="E177">
        <v>63043.94</v>
      </c>
      <c r="F177">
        <v>10402</v>
      </c>
      <c r="G177">
        <v>0.159</v>
      </c>
      <c r="H177">
        <v>23</v>
      </c>
      <c r="I177">
        <v>93.9</v>
      </c>
      <c r="J177">
        <v>2.71</v>
      </c>
      <c r="K177">
        <v>0</v>
      </c>
      <c r="L177">
        <v>3.1</v>
      </c>
      <c r="M177">
        <v>804264</v>
      </c>
      <c r="N177">
        <v>167117.91</v>
      </c>
      <c r="O177">
        <f t="shared" si="12"/>
        <v>1</v>
      </c>
      <c r="P177">
        <f t="shared" si="13"/>
        <v>0</v>
      </c>
      <c r="Q177">
        <f t="shared" si="14"/>
        <v>0</v>
      </c>
      <c r="R177">
        <f t="shared" si="15"/>
        <v>1</v>
      </c>
      <c r="S177">
        <f t="shared" si="16"/>
        <v>0</v>
      </c>
      <c r="T177">
        <f t="shared" si="17"/>
        <v>0</v>
      </c>
    </row>
    <row r="178" spans="1:20">
      <c r="A178" t="s">
        <v>66</v>
      </c>
      <c r="B178" s="2">
        <v>45658</v>
      </c>
      <c r="C178" t="s">
        <v>27</v>
      </c>
      <c r="D178" t="s">
        <v>21</v>
      </c>
      <c r="E178">
        <v>67494.09</v>
      </c>
      <c r="F178">
        <v>12361</v>
      </c>
      <c r="G178">
        <v>4.5999999999999999E-2</v>
      </c>
      <c r="H178">
        <v>24</v>
      </c>
      <c r="I178">
        <v>76.599999999999994</v>
      </c>
      <c r="J178">
        <v>3.65</v>
      </c>
      <c r="K178">
        <v>1</v>
      </c>
      <c r="L178">
        <v>3.7</v>
      </c>
      <c r="M178">
        <v>887537.75</v>
      </c>
      <c r="N178">
        <v>160362.92000000001</v>
      </c>
      <c r="O178">
        <f t="shared" si="12"/>
        <v>0</v>
      </c>
      <c r="P178">
        <f t="shared" si="13"/>
        <v>0</v>
      </c>
      <c r="Q178">
        <f t="shared" si="14"/>
        <v>0</v>
      </c>
      <c r="R178">
        <f t="shared" si="15"/>
        <v>0</v>
      </c>
      <c r="S178">
        <f t="shared" si="16"/>
        <v>0</v>
      </c>
      <c r="T178">
        <f t="shared" si="17"/>
        <v>1</v>
      </c>
    </row>
    <row r="179" spans="1:20">
      <c r="A179" t="s">
        <v>66</v>
      </c>
      <c r="B179" s="2">
        <v>45689</v>
      </c>
      <c r="C179" t="s">
        <v>27</v>
      </c>
      <c r="D179" t="s">
        <v>21</v>
      </c>
      <c r="E179">
        <v>29389.32</v>
      </c>
      <c r="F179">
        <v>7925</v>
      </c>
      <c r="G179">
        <v>0.17699999999999999</v>
      </c>
      <c r="H179">
        <v>21</v>
      </c>
      <c r="I179">
        <v>90.9</v>
      </c>
      <c r="J179">
        <v>7.86</v>
      </c>
      <c r="K179">
        <v>0</v>
      </c>
      <c r="L179">
        <v>4</v>
      </c>
      <c r="M179">
        <v>783582</v>
      </c>
      <c r="N179">
        <v>130670.93</v>
      </c>
      <c r="O179">
        <f t="shared" si="12"/>
        <v>0</v>
      </c>
      <c r="P179">
        <f t="shared" si="13"/>
        <v>0</v>
      </c>
      <c r="Q179">
        <f t="shared" si="14"/>
        <v>0</v>
      </c>
      <c r="R179">
        <f t="shared" si="15"/>
        <v>0</v>
      </c>
      <c r="S179">
        <f t="shared" si="16"/>
        <v>0</v>
      </c>
      <c r="T179">
        <f t="shared" si="17"/>
        <v>1</v>
      </c>
    </row>
    <row r="180" spans="1:20">
      <c r="A180" t="s">
        <v>66</v>
      </c>
      <c r="B180" s="2">
        <v>45717</v>
      </c>
      <c r="C180" t="s">
        <v>27</v>
      </c>
      <c r="D180" t="s">
        <v>21</v>
      </c>
      <c r="E180">
        <v>40535.089999999997</v>
      </c>
      <c r="F180">
        <v>8870</v>
      </c>
      <c r="G180">
        <v>4.1000000000000002E-2</v>
      </c>
      <c r="H180">
        <v>21</v>
      </c>
      <c r="I180">
        <v>86.6</v>
      </c>
      <c r="J180">
        <v>0.3</v>
      </c>
      <c r="K180">
        <v>0</v>
      </c>
      <c r="L180">
        <v>4.0999999999999996</v>
      </c>
      <c r="M180">
        <v>781955.52</v>
      </c>
      <c r="N180">
        <v>152578.71</v>
      </c>
      <c r="O180">
        <f t="shared" si="12"/>
        <v>0</v>
      </c>
      <c r="P180">
        <f t="shared" si="13"/>
        <v>0</v>
      </c>
      <c r="Q180">
        <f t="shared" si="14"/>
        <v>0</v>
      </c>
      <c r="R180">
        <f t="shared" si="15"/>
        <v>0</v>
      </c>
      <c r="S180">
        <f t="shared" si="16"/>
        <v>0</v>
      </c>
      <c r="T180">
        <f t="shared" si="17"/>
        <v>1</v>
      </c>
    </row>
    <row r="181" spans="1:20">
      <c r="A181" t="s">
        <v>66</v>
      </c>
      <c r="B181" s="2">
        <v>45748</v>
      </c>
      <c r="C181" t="s">
        <v>27</v>
      </c>
      <c r="D181" t="s">
        <v>21</v>
      </c>
      <c r="E181">
        <v>74881.56</v>
      </c>
      <c r="F181">
        <v>9999</v>
      </c>
      <c r="G181">
        <v>1.2999999999999999E-2</v>
      </c>
      <c r="H181">
        <v>20</v>
      </c>
      <c r="I181">
        <v>89.6</v>
      </c>
      <c r="J181">
        <v>8.44</v>
      </c>
      <c r="K181">
        <v>0</v>
      </c>
      <c r="L181">
        <v>4.0999999999999996</v>
      </c>
      <c r="M181">
        <v>898031.04</v>
      </c>
      <c r="N181">
        <v>138666.5</v>
      </c>
      <c r="O181">
        <f t="shared" si="12"/>
        <v>0</v>
      </c>
      <c r="P181">
        <f t="shared" si="13"/>
        <v>0</v>
      </c>
      <c r="Q181">
        <f t="shared" si="14"/>
        <v>0</v>
      </c>
      <c r="R181">
        <f t="shared" si="15"/>
        <v>0</v>
      </c>
      <c r="S181">
        <f t="shared" si="16"/>
        <v>0</v>
      </c>
      <c r="T181">
        <f t="shared" si="17"/>
        <v>1</v>
      </c>
    </row>
    <row r="182" spans="1:20">
      <c r="A182" t="s">
        <v>67</v>
      </c>
      <c r="B182" s="2">
        <v>45658</v>
      </c>
      <c r="C182" t="s">
        <v>27</v>
      </c>
      <c r="D182" t="s">
        <v>16</v>
      </c>
      <c r="E182">
        <v>68491.11</v>
      </c>
      <c r="F182">
        <v>11154</v>
      </c>
      <c r="G182">
        <v>1E-3</v>
      </c>
      <c r="H182">
        <v>24</v>
      </c>
      <c r="I182">
        <v>89.4</v>
      </c>
      <c r="J182">
        <v>5.27</v>
      </c>
      <c r="K182">
        <v>1</v>
      </c>
      <c r="L182">
        <v>3.9</v>
      </c>
      <c r="M182">
        <v>855341.28</v>
      </c>
      <c r="N182">
        <v>175823.8</v>
      </c>
      <c r="O182">
        <f t="shared" si="12"/>
        <v>0</v>
      </c>
      <c r="P182">
        <f t="shared" si="13"/>
        <v>0</v>
      </c>
      <c r="Q182">
        <f t="shared" si="14"/>
        <v>0</v>
      </c>
      <c r="R182">
        <f t="shared" si="15"/>
        <v>1</v>
      </c>
      <c r="S182">
        <f t="shared" si="16"/>
        <v>0</v>
      </c>
      <c r="T182">
        <f t="shared" si="17"/>
        <v>0</v>
      </c>
    </row>
    <row r="183" spans="1:20">
      <c r="A183" t="s">
        <v>67</v>
      </c>
      <c r="B183" s="2">
        <v>45689</v>
      </c>
      <c r="C183" t="s">
        <v>27</v>
      </c>
      <c r="D183" t="s">
        <v>16</v>
      </c>
      <c r="E183">
        <v>45209.25</v>
      </c>
      <c r="F183">
        <v>9287</v>
      </c>
      <c r="G183">
        <v>0.14099999999999999</v>
      </c>
      <c r="H183">
        <v>22</v>
      </c>
      <c r="I183">
        <v>86.4</v>
      </c>
      <c r="J183">
        <v>13.22</v>
      </c>
      <c r="K183">
        <v>0</v>
      </c>
      <c r="L183">
        <v>3.6</v>
      </c>
      <c r="M183">
        <v>751393.88</v>
      </c>
      <c r="N183">
        <v>91480.320000000007</v>
      </c>
      <c r="O183">
        <f t="shared" si="12"/>
        <v>0</v>
      </c>
      <c r="P183">
        <f t="shared" si="13"/>
        <v>0</v>
      </c>
      <c r="Q183">
        <f t="shared" si="14"/>
        <v>0</v>
      </c>
      <c r="R183">
        <f t="shared" si="15"/>
        <v>1</v>
      </c>
      <c r="S183">
        <f t="shared" si="16"/>
        <v>0</v>
      </c>
      <c r="T183">
        <f t="shared" si="17"/>
        <v>0</v>
      </c>
    </row>
    <row r="184" spans="1:20">
      <c r="A184" t="s">
        <v>67</v>
      </c>
      <c r="B184" s="2">
        <v>45717</v>
      </c>
      <c r="C184" t="s">
        <v>27</v>
      </c>
      <c r="D184" t="s">
        <v>16</v>
      </c>
      <c r="E184">
        <v>63010.23</v>
      </c>
      <c r="F184">
        <v>9812</v>
      </c>
      <c r="G184">
        <v>0.113</v>
      </c>
      <c r="H184">
        <v>24</v>
      </c>
      <c r="I184">
        <v>76.8</v>
      </c>
      <c r="J184">
        <v>1.02</v>
      </c>
      <c r="K184">
        <v>1</v>
      </c>
      <c r="L184">
        <v>3.8</v>
      </c>
      <c r="M184">
        <v>761077.08</v>
      </c>
      <c r="N184">
        <v>113605.93</v>
      </c>
      <c r="O184">
        <f t="shared" si="12"/>
        <v>0</v>
      </c>
      <c r="P184">
        <f t="shared" si="13"/>
        <v>0</v>
      </c>
      <c r="Q184">
        <f t="shared" si="14"/>
        <v>0</v>
      </c>
      <c r="R184">
        <f t="shared" si="15"/>
        <v>1</v>
      </c>
      <c r="S184">
        <f t="shared" si="16"/>
        <v>0</v>
      </c>
      <c r="T184">
        <f t="shared" si="17"/>
        <v>0</v>
      </c>
    </row>
    <row r="185" spans="1:20">
      <c r="A185" t="s">
        <v>67</v>
      </c>
      <c r="B185" s="2">
        <v>45748</v>
      </c>
      <c r="C185" t="s">
        <v>27</v>
      </c>
      <c r="D185" t="s">
        <v>16</v>
      </c>
      <c r="E185">
        <v>57948.88</v>
      </c>
      <c r="F185">
        <v>10741</v>
      </c>
      <c r="G185">
        <v>7.0000000000000007E-2</v>
      </c>
      <c r="H185">
        <v>25</v>
      </c>
      <c r="I185">
        <v>90.1</v>
      </c>
      <c r="J185">
        <v>4.03</v>
      </c>
      <c r="K185">
        <v>0</v>
      </c>
      <c r="L185">
        <v>3.1</v>
      </c>
      <c r="M185">
        <v>819660.59</v>
      </c>
      <c r="N185">
        <v>172699.95</v>
      </c>
      <c r="O185">
        <f t="shared" si="12"/>
        <v>0</v>
      </c>
      <c r="P185">
        <f t="shared" si="13"/>
        <v>0</v>
      </c>
      <c r="Q185">
        <f t="shared" si="14"/>
        <v>0</v>
      </c>
      <c r="R185">
        <f t="shared" si="15"/>
        <v>1</v>
      </c>
      <c r="S185">
        <f t="shared" si="16"/>
        <v>0</v>
      </c>
      <c r="T185">
        <f t="shared" si="17"/>
        <v>0</v>
      </c>
    </row>
    <row r="186" spans="1:20">
      <c r="A186" t="s">
        <v>68</v>
      </c>
      <c r="B186" s="2">
        <v>45658</v>
      </c>
      <c r="C186" t="s">
        <v>20</v>
      </c>
      <c r="D186" t="s">
        <v>18</v>
      </c>
      <c r="E186">
        <v>71941.62</v>
      </c>
      <c r="F186">
        <v>6084</v>
      </c>
      <c r="G186">
        <v>7.1999999999999995E-2</v>
      </c>
      <c r="H186">
        <v>13</v>
      </c>
      <c r="I186">
        <v>93.7</v>
      </c>
      <c r="J186">
        <v>2.34</v>
      </c>
      <c r="K186">
        <v>0</v>
      </c>
      <c r="L186">
        <v>4.4000000000000004</v>
      </c>
      <c r="M186">
        <v>681855.56</v>
      </c>
      <c r="N186">
        <v>117645.61</v>
      </c>
      <c r="O186">
        <f t="shared" si="12"/>
        <v>0</v>
      </c>
      <c r="P186">
        <f t="shared" si="13"/>
        <v>1</v>
      </c>
      <c r="Q186">
        <f t="shared" si="14"/>
        <v>0</v>
      </c>
      <c r="R186">
        <f t="shared" si="15"/>
        <v>0</v>
      </c>
      <c r="S186">
        <f t="shared" si="16"/>
        <v>1</v>
      </c>
      <c r="T186">
        <f t="shared" si="17"/>
        <v>0</v>
      </c>
    </row>
    <row r="187" spans="1:20">
      <c r="A187" t="s">
        <v>68</v>
      </c>
      <c r="B187" s="2">
        <v>45689</v>
      </c>
      <c r="C187" t="s">
        <v>20</v>
      </c>
      <c r="D187" t="s">
        <v>18</v>
      </c>
      <c r="E187">
        <v>57147.88</v>
      </c>
      <c r="F187">
        <v>5252</v>
      </c>
      <c r="G187">
        <v>0.161</v>
      </c>
      <c r="H187">
        <v>15</v>
      </c>
      <c r="I187">
        <v>95.5</v>
      </c>
      <c r="J187">
        <v>8.51</v>
      </c>
      <c r="K187">
        <v>0</v>
      </c>
      <c r="L187">
        <v>4.4000000000000004</v>
      </c>
      <c r="M187">
        <v>678311.17</v>
      </c>
      <c r="N187">
        <v>132029.76000000001</v>
      </c>
      <c r="O187">
        <f t="shared" si="12"/>
        <v>0</v>
      </c>
      <c r="P187">
        <f t="shared" si="13"/>
        <v>1</v>
      </c>
      <c r="Q187">
        <f t="shared" si="14"/>
        <v>0</v>
      </c>
      <c r="R187">
        <f t="shared" si="15"/>
        <v>0</v>
      </c>
      <c r="S187">
        <f t="shared" si="16"/>
        <v>1</v>
      </c>
      <c r="T187">
        <f t="shared" si="17"/>
        <v>0</v>
      </c>
    </row>
    <row r="188" spans="1:20">
      <c r="A188" t="s">
        <v>68</v>
      </c>
      <c r="B188" s="2">
        <v>45717</v>
      </c>
      <c r="C188" t="s">
        <v>20</v>
      </c>
      <c r="D188" t="s">
        <v>18</v>
      </c>
      <c r="E188">
        <v>48031.74</v>
      </c>
      <c r="F188">
        <v>6516</v>
      </c>
      <c r="G188">
        <v>6.7000000000000004E-2</v>
      </c>
      <c r="H188">
        <v>14</v>
      </c>
      <c r="I188">
        <v>99</v>
      </c>
      <c r="J188">
        <v>0.48</v>
      </c>
      <c r="K188">
        <v>1</v>
      </c>
      <c r="L188">
        <v>4.3</v>
      </c>
      <c r="M188">
        <v>765906.95</v>
      </c>
      <c r="N188">
        <v>114005.9</v>
      </c>
      <c r="O188">
        <f t="shared" si="12"/>
        <v>0</v>
      </c>
      <c r="P188">
        <f t="shared" si="13"/>
        <v>1</v>
      </c>
      <c r="Q188">
        <f t="shared" si="14"/>
        <v>0</v>
      </c>
      <c r="R188">
        <f t="shared" si="15"/>
        <v>0</v>
      </c>
      <c r="S188">
        <f t="shared" si="16"/>
        <v>1</v>
      </c>
      <c r="T188">
        <f t="shared" si="17"/>
        <v>0</v>
      </c>
    </row>
    <row r="189" spans="1:20">
      <c r="A189" t="s">
        <v>68</v>
      </c>
      <c r="B189" s="2">
        <v>45748</v>
      </c>
      <c r="C189" t="s">
        <v>20</v>
      </c>
      <c r="D189" t="s">
        <v>18</v>
      </c>
      <c r="E189">
        <v>72784.800000000003</v>
      </c>
      <c r="F189">
        <v>7932</v>
      </c>
      <c r="G189">
        <v>9.4E-2</v>
      </c>
      <c r="H189">
        <v>20</v>
      </c>
      <c r="I189">
        <v>74.900000000000006</v>
      </c>
      <c r="J189">
        <v>13.62</v>
      </c>
      <c r="K189">
        <v>0</v>
      </c>
      <c r="L189">
        <v>4.2</v>
      </c>
      <c r="M189">
        <v>712546.38</v>
      </c>
      <c r="N189">
        <v>101480.04</v>
      </c>
      <c r="O189">
        <f t="shared" si="12"/>
        <v>0</v>
      </c>
      <c r="P189">
        <f t="shared" si="13"/>
        <v>1</v>
      </c>
      <c r="Q189">
        <f t="shared" si="14"/>
        <v>0</v>
      </c>
      <c r="R189">
        <f t="shared" si="15"/>
        <v>0</v>
      </c>
      <c r="S189">
        <f t="shared" si="16"/>
        <v>1</v>
      </c>
      <c r="T189">
        <f t="shared" si="17"/>
        <v>0</v>
      </c>
    </row>
    <row r="190" spans="1:20">
      <c r="A190" t="s">
        <v>69</v>
      </c>
      <c r="B190" s="2">
        <v>45658</v>
      </c>
      <c r="C190" t="s">
        <v>15</v>
      </c>
      <c r="D190" t="s">
        <v>18</v>
      </c>
      <c r="E190">
        <v>71641.899999999994</v>
      </c>
      <c r="F190">
        <v>3506</v>
      </c>
      <c r="G190">
        <v>0</v>
      </c>
      <c r="H190">
        <v>11</v>
      </c>
      <c r="I190">
        <v>86.4</v>
      </c>
      <c r="J190">
        <v>7.77</v>
      </c>
      <c r="K190">
        <v>0</v>
      </c>
      <c r="L190">
        <v>4.0999999999999996</v>
      </c>
      <c r="M190">
        <v>625993.82999999996</v>
      </c>
      <c r="N190">
        <v>98960.320000000007</v>
      </c>
      <c r="O190">
        <f t="shared" si="12"/>
        <v>1</v>
      </c>
      <c r="P190">
        <f t="shared" si="13"/>
        <v>0</v>
      </c>
      <c r="Q190">
        <f t="shared" si="14"/>
        <v>0</v>
      </c>
      <c r="R190">
        <f t="shared" si="15"/>
        <v>0</v>
      </c>
      <c r="S190">
        <f t="shared" si="16"/>
        <v>1</v>
      </c>
      <c r="T190">
        <f t="shared" si="17"/>
        <v>0</v>
      </c>
    </row>
    <row r="191" spans="1:20">
      <c r="A191" t="s">
        <v>69</v>
      </c>
      <c r="B191" s="2">
        <v>45689</v>
      </c>
      <c r="C191" t="s">
        <v>15</v>
      </c>
      <c r="D191" t="s">
        <v>18</v>
      </c>
      <c r="E191">
        <v>55788.61</v>
      </c>
      <c r="F191">
        <v>2312</v>
      </c>
      <c r="G191">
        <v>5.8000000000000003E-2</v>
      </c>
      <c r="H191">
        <v>10</v>
      </c>
      <c r="I191">
        <v>91.3</v>
      </c>
      <c r="J191">
        <v>1.99</v>
      </c>
      <c r="K191">
        <v>0</v>
      </c>
      <c r="L191">
        <v>3.8</v>
      </c>
      <c r="M191">
        <v>550962.93000000005</v>
      </c>
      <c r="N191">
        <v>97144.58</v>
      </c>
      <c r="O191">
        <f t="shared" si="12"/>
        <v>1</v>
      </c>
      <c r="P191">
        <f t="shared" si="13"/>
        <v>0</v>
      </c>
      <c r="Q191">
        <f t="shared" si="14"/>
        <v>0</v>
      </c>
      <c r="R191">
        <f t="shared" si="15"/>
        <v>0</v>
      </c>
      <c r="S191">
        <f t="shared" si="16"/>
        <v>1</v>
      </c>
      <c r="T191">
        <f t="shared" si="17"/>
        <v>0</v>
      </c>
    </row>
    <row r="192" spans="1:20">
      <c r="A192" t="s">
        <v>69</v>
      </c>
      <c r="B192" s="2">
        <v>45717</v>
      </c>
      <c r="C192" t="s">
        <v>15</v>
      </c>
      <c r="D192" t="s">
        <v>18</v>
      </c>
      <c r="E192">
        <v>37705.879999999997</v>
      </c>
      <c r="F192">
        <v>1268</v>
      </c>
      <c r="G192">
        <v>0.25900000000000001</v>
      </c>
      <c r="H192">
        <v>9</v>
      </c>
      <c r="I192">
        <v>84.1</v>
      </c>
      <c r="J192">
        <v>4.7699999999999996</v>
      </c>
      <c r="K192">
        <v>0</v>
      </c>
      <c r="L192">
        <v>3.8</v>
      </c>
      <c r="M192">
        <v>443275.59</v>
      </c>
      <c r="N192">
        <v>53544.36</v>
      </c>
      <c r="O192">
        <f t="shared" si="12"/>
        <v>1</v>
      </c>
      <c r="P192">
        <f t="shared" si="13"/>
        <v>0</v>
      </c>
      <c r="Q192">
        <f t="shared" si="14"/>
        <v>0</v>
      </c>
      <c r="R192">
        <f t="shared" si="15"/>
        <v>0</v>
      </c>
      <c r="S192">
        <f t="shared" si="16"/>
        <v>1</v>
      </c>
      <c r="T192">
        <f t="shared" si="17"/>
        <v>0</v>
      </c>
    </row>
    <row r="193" spans="1:20">
      <c r="A193" t="s">
        <v>69</v>
      </c>
      <c r="B193" s="2">
        <v>45748</v>
      </c>
      <c r="C193" t="s">
        <v>15</v>
      </c>
      <c r="D193" t="s">
        <v>18</v>
      </c>
      <c r="E193">
        <v>54966.18</v>
      </c>
      <c r="F193">
        <v>4423</v>
      </c>
      <c r="G193">
        <v>0.186</v>
      </c>
      <c r="H193">
        <v>13</v>
      </c>
      <c r="I193">
        <v>88.7</v>
      </c>
      <c r="J193">
        <v>0.2</v>
      </c>
      <c r="K193">
        <v>0</v>
      </c>
      <c r="L193">
        <v>4.4000000000000004</v>
      </c>
      <c r="M193">
        <v>554012.06999999995</v>
      </c>
      <c r="N193">
        <v>81101.62</v>
      </c>
      <c r="O193">
        <f t="shared" si="12"/>
        <v>1</v>
      </c>
      <c r="P193">
        <f t="shared" si="13"/>
        <v>0</v>
      </c>
      <c r="Q193">
        <f t="shared" si="14"/>
        <v>0</v>
      </c>
      <c r="R193">
        <f t="shared" si="15"/>
        <v>0</v>
      </c>
      <c r="S193">
        <f t="shared" si="16"/>
        <v>1</v>
      </c>
      <c r="T193">
        <f t="shared" si="17"/>
        <v>0</v>
      </c>
    </row>
    <row r="194" spans="1:20">
      <c r="A194" t="s">
        <v>70</v>
      </c>
      <c r="B194" s="2">
        <v>45658</v>
      </c>
      <c r="C194" t="s">
        <v>27</v>
      </c>
      <c r="D194" t="s">
        <v>16</v>
      </c>
      <c r="E194">
        <v>81796.740000000005</v>
      </c>
      <c r="F194">
        <v>6177</v>
      </c>
      <c r="G194">
        <v>0.16400000000000001</v>
      </c>
      <c r="H194">
        <v>14</v>
      </c>
      <c r="I194">
        <v>87.9</v>
      </c>
      <c r="J194">
        <v>0.53</v>
      </c>
      <c r="K194">
        <v>0</v>
      </c>
      <c r="L194">
        <v>3.2</v>
      </c>
      <c r="M194">
        <v>643428.85</v>
      </c>
      <c r="N194">
        <v>94477.63</v>
      </c>
      <c r="O194">
        <f t="shared" si="12"/>
        <v>0</v>
      </c>
      <c r="P194">
        <f t="shared" si="13"/>
        <v>0</v>
      </c>
      <c r="Q194">
        <f t="shared" si="14"/>
        <v>0</v>
      </c>
      <c r="R194">
        <f t="shared" si="15"/>
        <v>1</v>
      </c>
      <c r="S194">
        <f t="shared" si="16"/>
        <v>0</v>
      </c>
      <c r="T194">
        <f t="shared" si="17"/>
        <v>0</v>
      </c>
    </row>
    <row r="195" spans="1:20">
      <c r="A195" t="s">
        <v>70</v>
      </c>
      <c r="B195" s="2">
        <v>45689</v>
      </c>
      <c r="C195" t="s">
        <v>27</v>
      </c>
      <c r="D195" t="s">
        <v>16</v>
      </c>
      <c r="E195">
        <v>51133.43</v>
      </c>
      <c r="F195">
        <v>5150</v>
      </c>
      <c r="G195">
        <v>0.15</v>
      </c>
      <c r="H195">
        <v>12</v>
      </c>
      <c r="I195">
        <v>88.5</v>
      </c>
      <c r="J195">
        <v>1.54</v>
      </c>
      <c r="K195">
        <v>0</v>
      </c>
      <c r="L195">
        <v>3.2</v>
      </c>
      <c r="M195">
        <v>611924.27</v>
      </c>
      <c r="N195">
        <v>115488.75</v>
      </c>
      <c r="O195">
        <f t="shared" ref="O195:O258" si="18">IF(C195="East",1,0)</f>
        <v>0</v>
      </c>
      <c r="P195">
        <f t="shared" ref="P195:P258" si="19">IF(C195="North",1,0)</f>
        <v>0</v>
      </c>
      <c r="Q195">
        <f t="shared" ref="Q195:Q258" si="20">IF(C195="South",1,0)</f>
        <v>0</v>
      </c>
      <c r="R195">
        <f t="shared" ref="R195:R258" si="21">IF(D195="Residential",1,0)</f>
        <v>1</v>
      </c>
      <c r="S195">
        <f t="shared" ref="S195:S258" si="22">IF(D195="High Street",1,0)</f>
        <v>0</v>
      </c>
      <c r="T195">
        <f t="shared" ref="T195:T258" si="23">IF(D195="Airport",1,0)</f>
        <v>0</v>
      </c>
    </row>
    <row r="196" spans="1:20">
      <c r="A196" t="s">
        <v>70</v>
      </c>
      <c r="B196" s="2">
        <v>45717</v>
      </c>
      <c r="C196" t="s">
        <v>27</v>
      </c>
      <c r="D196" t="s">
        <v>16</v>
      </c>
      <c r="E196">
        <v>40220.18</v>
      </c>
      <c r="F196">
        <v>3783</v>
      </c>
      <c r="G196">
        <v>8.8999999999999996E-2</v>
      </c>
      <c r="H196">
        <v>14</v>
      </c>
      <c r="I196">
        <v>86.6</v>
      </c>
      <c r="J196">
        <v>3.63</v>
      </c>
      <c r="K196">
        <v>0</v>
      </c>
      <c r="L196">
        <v>3.7</v>
      </c>
      <c r="M196">
        <v>559422.02</v>
      </c>
      <c r="N196">
        <v>73528.740000000005</v>
      </c>
      <c r="O196">
        <f t="shared" si="18"/>
        <v>0</v>
      </c>
      <c r="P196">
        <f t="shared" si="19"/>
        <v>0</v>
      </c>
      <c r="Q196">
        <f t="shared" si="20"/>
        <v>0</v>
      </c>
      <c r="R196">
        <f t="shared" si="21"/>
        <v>1</v>
      </c>
      <c r="S196">
        <f t="shared" si="22"/>
        <v>0</v>
      </c>
      <c r="T196">
        <f t="shared" si="23"/>
        <v>0</v>
      </c>
    </row>
    <row r="197" spans="1:20">
      <c r="A197" t="s">
        <v>70</v>
      </c>
      <c r="B197" s="2">
        <v>45748</v>
      </c>
      <c r="C197" t="s">
        <v>27</v>
      </c>
      <c r="D197" t="s">
        <v>16</v>
      </c>
      <c r="E197">
        <v>41657.64</v>
      </c>
      <c r="F197">
        <v>3135</v>
      </c>
      <c r="G197">
        <v>0.22900000000000001</v>
      </c>
      <c r="H197">
        <v>7</v>
      </c>
      <c r="I197">
        <v>85.4</v>
      </c>
      <c r="J197">
        <v>13.48</v>
      </c>
      <c r="K197">
        <v>0</v>
      </c>
      <c r="L197">
        <f>3.924</f>
        <v>3.9239999999999999</v>
      </c>
      <c r="M197">
        <v>449465.06</v>
      </c>
      <c r="N197">
        <v>65694.78</v>
      </c>
      <c r="O197">
        <f t="shared" si="18"/>
        <v>0</v>
      </c>
      <c r="P197">
        <f t="shared" si="19"/>
        <v>0</v>
      </c>
      <c r="Q197">
        <f t="shared" si="20"/>
        <v>0</v>
      </c>
      <c r="R197">
        <f t="shared" si="21"/>
        <v>1</v>
      </c>
      <c r="S197">
        <f t="shared" si="22"/>
        <v>0</v>
      </c>
      <c r="T197">
        <f t="shared" si="23"/>
        <v>0</v>
      </c>
    </row>
    <row r="198" spans="1:20">
      <c r="A198" t="s">
        <v>71</v>
      </c>
      <c r="B198" s="2">
        <v>45658</v>
      </c>
      <c r="C198" t="s">
        <v>20</v>
      </c>
      <c r="D198" t="s">
        <v>16</v>
      </c>
      <c r="E198">
        <v>71851.45</v>
      </c>
      <c r="F198">
        <v>4970</v>
      </c>
      <c r="G198">
        <v>9.8000000000000004E-2</v>
      </c>
      <c r="H198">
        <v>11</v>
      </c>
      <c r="I198">
        <v>89.6</v>
      </c>
      <c r="J198">
        <v>0.2</v>
      </c>
      <c r="K198">
        <v>0</v>
      </c>
      <c r="L198">
        <v>4.2</v>
      </c>
      <c r="M198">
        <v>691447.43</v>
      </c>
      <c r="N198">
        <v>114077.69</v>
      </c>
      <c r="O198">
        <f t="shared" si="18"/>
        <v>0</v>
      </c>
      <c r="P198">
        <f t="shared" si="19"/>
        <v>1</v>
      </c>
      <c r="Q198">
        <f t="shared" si="20"/>
        <v>0</v>
      </c>
      <c r="R198">
        <f t="shared" si="21"/>
        <v>1</v>
      </c>
      <c r="S198">
        <f t="shared" si="22"/>
        <v>0</v>
      </c>
      <c r="T198">
        <f t="shared" si="23"/>
        <v>0</v>
      </c>
    </row>
    <row r="199" spans="1:20">
      <c r="A199" t="s">
        <v>71</v>
      </c>
      <c r="B199" s="2">
        <v>45689</v>
      </c>
      <c r="C199" t="s">
        <v>20</v>
      </c>
      <c r="D199" t="s">
        <v>16</v>
      </c>
      <c r="E199">
        <v>54002.83</v>
      </c>
      <c r="F199">
        <v>4366</v>
      </c>
      <c r="G199">
        <v>2.7E-2</v>
      </c>
      <c r="H199">
        <v>15</v>
      </c>
      <c r="I199">
        <v>90.6</v>
      </c>
      <c r="J199">
        <v>12.82</v>
      </c>
      <c r="K199">
        <v>0</v>
      </c>
      <c r="L199">
        <v>4.5999999999999996</v>
      </c>
      <c r="M199">
        <v>574066.61</v>
      </c>
      <c r="N199">
        <v>124674.67</v>
      </c>
      <c r="O199">
        <f t="shared" si="18"/>
        <v>0</v>
      </c>
      <c r="P199">
        <f t="shared" si="19"/>
        <v>1</v>
      </c>
      <c r="Q199">
        <f t="shared" si="20"/>
        <v>0</v>
      </c>
      <c r="R199">
        <f t="shared" si="21"/>
        <v>1</v>
      </c>
      <c r="S199">
        <f t="shared" si="22"/>
        <v>0</v>
      </c>
      <c r="T199">
        <f t="shared" si="23"/>
        <v>0</v>
      </c>
    </row>
    <row r="200" spans="1:20">
      <c r="A200" t="s">
        <v>71</v>
      </c>
      <c r="B200" s="2">
        <v>45717</v>
      </c>
      <c r="C200" t="s">
        <v>20</v>
      </c>
      <c r="D200" t="s">
        <v>16</v>
      </c>
      <c r="E200">
        <v>54479.33</v>
      </c>
      <c r="F200">
        <v>5012</v>
      </c>
      <c r="G200">
        <v>0.28399999999999997</v>
      </c>
      <c r="H200">
        <v>13</v>
      </c>
      <c r="I200">
        <v>86</v>
      </c>
      <c r="J200">
        <v>2.2400000000000002</v>
      </c>
      <c r="K200">
        <v>1</v>
      </c>
      <c r="L200">
        <v>4.3</v>
      </c>
      <c r="M200">
        <v>578949.84</v>
      </c>
      <c r="N200">
        <v>80253.649999999994</v>
      </c>
      <c r="O200">
        <f t="shared" si="18"/>
        <v>0</v>
      </c>
      <c r="P200">
        <f t="shared" si="19"/>
        <v>1</v>
      </c>
      <c r="Q200">
        <f t="shared" si="20"/>
        <v>0</v>
      </c>
      <c r="R200">
        <f t="shared" si="21"/>
        <v>1</v>
      </c>
      <c r="S200">
        <f t="shared" si="22"/>
        <v>0</v>
      </c>
      <c r="T200">
        <f t="shared" si="23"/>
        <v>0</v>
      </c>
    </row>
    <row r="201" spans="1:20">
      <c r="A201" t="s">
        <v>71</v>
      </c>
      <c r="B201" s="2">
        <v>45748</v>
      </c>
      <c r="C201" t="s">
        <v>20</v>
      </c>
      <c r="D201" t="s">
        <v>16</v>
      </c>
      <c r="E201">
        <v>61391.8</v>
      </c>
      <c r="F201">
        <v>5575</v>
      </c>
      <c r="G201">
        <v>0.189</v>
      </c>
      <c r="H201">
        <v>18</v>
      </c>
      <c r="I201">
        <v>90</v>
      </c>
      <c r="J201">
        <v>1.8</v>
      </c>
      <c r="K201">
        <v>0</v>
      </c>
      <c r="L201">
        <v>4.8</v>
      </c>
      <c r="M201">
        <v>735786.64</v>
      </c>
      <c r="N201">
        <v>126540.66</v>
      </c>
      <c r="O201">
        <f t="shared" si="18"/>
        <v>0</v>
      </c>
      <c r="P201">
        <f t="shared" si="19"/>
        <v>1</v>
      </c>
      <c r="Q201">
        <f t="shared" si="20"/>
        <v>0</v>
      </c>
      <c r="R201">
        <f t="shared" si="21"/>
        <v>1</v>
      </c>
      <c r="S201">
        <f t="shared" si="22"/>
        <v>0</v>
      </c>
      <c r="T201">
        <f t="shared" si="23"/>
        <v>0</v>
      </c>
    </row>
    <row r="202" spans="1:20">
      <c r="A202" t="s">
        <v>72</v>
      </c>
      <c r="B202" s="2">
        <v>45658</v>
      </c>
      <c r="C202" t="s">
        <v>15</v>
      </c>
      <c r="D202" t="s">
        <v>21</v>
      </c>
      <c r="E202">
        <v>22312.93</v>
      </c>
      <c r="F202">
        <v>5955</v>
      </c>
      <c r="G202">
        <v>0.123</v>
      </c>
      <c r="H202">
        <v>13</v>
      </c>
      <c r="I202">
        <v>84.2</v>
      </c>
      <c r="J202">
        <v>0.41</v>
      </c>
      <c r="K202">
        <v>1</v>
      </c>
      <c r="L202">
        <v>4.5999999999999996</v>
      </c>
      <c r="M202">
        <v>598904.9</v>
      </c>
      <c r="N202">
        <v>72861</v>
      </c>
      <c r="O202">
        <f t="shared" si="18"/>
        <v>1</v>
      </c>
      <c r="P202">
        <f t="shared" si="19"/>
        <v>0</v>
      </c>
      <c r="Q202">
        <f t="shared" si="20"/>
        <v>0</v>
      </c>
      <c r="R202">
        <f t="shared" si="21"/>
        <v>0</v>
      </c>
      <c r="S202">
        <f t="shared" si="22"/>
        <v>0</v>
      </c>
      <c r="T202">
        <f t="shared" si="23"/>
        <v>1</v>
      </c>
    </row>
    <row r="203" spans="1:20">
      <c r="A203" t="s">
        <v>72</v>
      </c>
      <c r="B203" s="2">
        <v>45689</v>
      </c>
      <c r="C203" t="s">
        <v>15</v>
      </c>
      <c r="D203" t="s">
        <v>21</v>
      </c>
      <c r="E203">
        <v>78111.97</v>
      </c>
      <c r="F203">
        <v>6389</v>
      </c>
      <c r="G203">
        <v>0.15</v>
      </c>
      <c r="H203">
        <v>13</v>
      </c>
      <c r="I203">
        <v>83.9</v>
      </c>
      <c r="J203">
        <v>3.05</v>
      </c>
      <c r="K203">
        <v>0</v>
      </c>
      <c r="L203">
        <v>4.8</v>
      </c>
      <c r="M203">
        <v>787715.51</v>
      </c>
      <c r="N203">
        <v>128969.62</v>
      </c>
      <c r="O203">
        <f t="shared" si="18"/>
        <v>1</v>
      </c>
      <c r="P203">
        <f t="shared" si="19"/>
        <v>0</v>
      </c>
      <c r="Q203">
        <f t="shared" si="20"/>
        <v>0</v>
      </c>
      <c r="R203">
        <f t="shared" si="21"/>
        <v>0</v>
      </c>
      <c r="S203">
        <f t="shared" si="22"/>
        <v>0</v>
      </c>
      <c r="T203">
        <f t="shared" si="23"/>
        <v>1</v>
      </c>
    </row>
    <row r="204" spans="1:20">
      <c r="A204" t="s">
        <v>72</v>
      </c>
      <c r="B204" s="2">
        <v>45717</v>
      </c>
      <c r="C204" t="s">
        <v>15</v>
      </c>
      <c r="D204" t="s">
        <v>21</v>
      </c>
      <c r="E204">
        <v>35203.230000000003</v>
      </c>
      <c r="F204">
        <v>6896</v>
      </c>
      <c r="G204">
        <v>3.2000000000000001E-2</v>
      </c>
      <c r="H204">
        <v>14</v>
      </c>
      <c r="I204">
        <v>80.8</v>
      </c>
      <c r="J204">
        <v>8.44</v>
      </c>
      <c r="K204">
        <v>1</v>
      </c>
      <c r="L204">
        <v>5</v>
      </c>
      <c r="M204">
        <v>607084.92000000004</v>
      </c>
      <c r="N204">
        <v>98558.49</v>
      </c>
      <c r="O204">
        <f t="shared" si="18"/>
        <v>1</v>
      </c>
      <c r="P204">
        <f t="shared" si="19"/>
        <v>0</v>
      </c>
      <c r="Q204">
        <f t="shared" si="20"/>
        <v>0</v>
      </c>
      <c r="R204">
        <f t="shared" si="21"/>
        <v>0</v>
      </c>
      <c r="S204">
        <f t="shared" si="22"/>
        <v>0</v>
      </c>
      <c r="T204">
        <f t="shared" si="23"/>
        <v>1</v>
      </c>
    </row>
    <row r="205" spans="1:20">
      <c r="A205" t="s">
        <v>72</v>
      </c>
      <c r="B205" s="2">
        <v>45748</v>
      </c>
      <c r="C205" t="s">
        <v>15</v>
      </c>
      <c r="D205" t="s">
        <v>21</v>
      </c>
      <c r="E205">
        <v>64104.28</v>
      </c>
      <c r="F205">
        <v>6015</v>
      </c>
      <c r="G205">
        <v>0.127</v>
      </c>
      <c r="H205">
        <v>15</v>
      </c>
      <c r="I205">
        <v>88.7</v>
      </c>
      <c r="J205">
        <v>0.78</v>
      </c>
      <c r="K205">
        <v>0</v>
      </c>
      <c r="L205">
        <v>4</v>
      </c>
      <c r="M205">
        <v>650795.49</v>
      </c>
      <c r="N205">
        <v>103035.89</v>
      </c>
      <c r="O205">
        <f t="shared" si="18"/>
        <v>1</v>
      </c>
      <c r="P205">
        <f t="shared" si="19"/>
        <v>0</v>
      </c>
      <c r="Q205">
        <f t="shared" si="20"/>
        <v>0</v>
      </c>
      <c r="R205">
        <f t="shared" si="21"/>
        <v>0</v>
      </c>
      <c r="S205">
        <f t="shared" si="22"/>
        <v>0</v>
      </c>
      <c r="T205">
        <f t="shared" si="23"/>
        <v>1</v>
      </c>
    </row>
    <row r="206" spans="1:20">
      <c r="A206" t="s">
        <v>73</v>
      </c>
      <c r="B206" s="2">
        <v>45658</v>
      </c>
      <c r="C206" t="s">
        <v>15</v>
      </c>
      <c r="D206" t="s">
        <v>28</v>
      </c>
      <c r="E206">
        <v>92090.14</v>
      </c>
      <c r="F206">
        <v>9476</v>
      </c>
      <c r="G206">
        <v>7.0000000000000007E-2</v>
      </c>
      <c r="H206">
        <v>24</v>
      </c>
      <c r="I206">
        <v>94.3</v>
      </c>
      <c r="J206">
        <v>0.87</v>
      </c>
      <c r="K206">
        <v>0</v>
      </c>
      <c r="L206">
        <v>3.7</v>
      </c>
      <c r="M206">
        <v>825060.52</v>
      </c>
      <c r="N206">
        <v>143613.15</v>
      </c>
      <c r="O206">
        <f t="shared" si="18"/>
        <v>1</v>
      </c>
      <c r="P206">
        <f t="shared" si="19"/>
        <v>0</v>
      </c>
      <c r="Q206">
        <f t="shared" si="20"/>
        <v>0</v>
      </c>
      <c r="R206">
        <f t="shared" si="21"/>
        <v>0</v>
      </c>
      <c r="S206">
        <f t="shared" si="22"/>
        <v>0</v>
      </c>
      <c r="T206">
        <f t="shared" si="23"/>
        <v>0</v>
      </c>
    </row>
    <row r="207" spans="1:20">
      <c r="A207" t="s">
        <v>73</v>
      </c>
      <c r="B207" s="2">
        <v>45689</v>
      </c>
      <c r="C207" t="s">
        <v>15</v>
      </c>
      <c r="D207" t="s">
        <v>28</v>
      </c>
      <c r="E207">
        <v>54300.87</v>
      </c>
      <c r="F207">
        <v>7875</v>
      </c>
      <c r="G207">
        <v>0.107</v>
      </c>
      <c r="H207">
        <v>19</v>
      </c>
      <c r="I207">
        <v>94.1</v>
      </c>
      <c r="J207">
        <v>0.95</v>
      </c>
      <c r="K207">
        <v>0</v>
      </c>
      <c r="L207">
        <v>3.7</v>
      </c>
      <c r="M207">
        <v>795464.47</v>
      </c>
      <c r="N207">
        <v>161150.51999999999</v>
      </c>
      <c r="O207">
        <f t="shared" si="18"/>
        <v>1</v>
      </c>
      <c r="P207">
        <f t="shared" si="19"/>
        <v>0</v>
      </c>
      <c r="Q207">
        <f t="shared" si="20"/>
        <v>0</v>
      </c>
      <c r="R207">
        <f t="shared" si="21"/>
        <v>0</v>
      </c>
      <c r="S207">
        <f t="shared" si="22"/>
        <v>0</v>
      </c>
      <c r="T207">
        <f t="shared" si="23"/>
        <v>0</v>
      </c>
    </row>
    <row r="208" spans="1:20">
      <c r="A208" t="s">
        <v>73</v>
      </c>
      <c r="B208" s="2">
        <v>45717</v>
      </c>
      <c r="C208" t="s">
        <v>15</v>
      </c>
      <c r="D208" t="s">
        <v>28</v>
      </c>
      <c r="E208">
        <v>37983.35</v>
      </c>
      <c r="F208">
        <v>9283</v>
      </c>
      <c r="G208">
        <v>0.14899999999999999</v>
      </c>
      <c r="H208">
        <v>19</v>
      </c>
      <c r="I208">
        <v>83.2</v>
      </c>
      <c r="J208">
        <v>3.82</v>
      </c>
      <c r="K208">
        <v>0</v>
      </c>
      <c r="L208">
        <v>3.7</v>
      </c>
      <c r="M208">
        <v>671868.59</v>
      </c>
      <c r="N208">
        <v>71003.28</v>
      </c>
      <c r="O208">
        <f t="shared" si="18"/>
        <v>1</v>
      </c>
      <c r="P208">
        <f t="shared" si="19"/>
        <v>0</v>
      </c>
      <c r="Q208">
        <f t="shared" si="20"/>
        <v>0</v>
      </c>
      <c r="R208">
        <f t="shared" si="21"/>
        <v>0</v>
      </c>
      <c r="S208">
        <f t="shared" si="22"/>
        <v>0</v>
      </c>
      <c r="T208">
        <f t="shared" si="23"/>
        <v>0</v>
      </c>
    </row>
    <row r="209" spans="1:20">
      <c r="A209" t="s">
        <v>73</v>
      </c>
      <c r="B209" s="2">
        <v>45748</v>
      </c>
      <c r="C209" t="s">
        <v>15</v>
      </c>
      <c r="D209" t="s">
        <v>28</v>
      </c>
      <c r="E209">
        <v>56413.83</v>
      </c>
      <c r="F209">
        <v>8303</v>
      </c>
      <c r="G209">
        <v>0.11600000000000001</v>
      </c>
      <c r="H209">
        <v>18</v>
      </c>
      <c r="I209">
        <v>93.6</v>
      </c>
      <c r="J209">
        <v>2.7</v>
      </c>
      <c r="K209">
        <v>0</v>
      </c>
      <c r="L209">
        <v>3.7</v>
      </c>
      <c r="M209">
        <v>675917.63</v>
      </c>
      <c r="N209">
        <v>112564.75</v>
      </c>
      <c r="O209">
        <f t="shared" si="18"/>
        <v>1</v>
      </c>
      <c r="P209">
        <f t="shared" si="19"/>
        <v>0</v>
      </c>
      <c r="Q209">
        <f t="shared" si="20"/>
        <v>0</v>
      </c>
      <c r="R209">
        <f t="shared" si="21"/>
        <v>0</v>
      </c>
      <c r="S209">
        <f t="shared" si="22"/>
        <v>0</v>
      </c>
      <c r="T209">
        <f t="shared" si="23"/>
        <v>0</v>
      </c>
    </row>
    <row r="210" spans="1:20">
      <c r="A210" t="s">
        <v>74</v>
      </c>
      <c r="B210" s="2">
        <v>45658</v>
      </c>
      <c r="C210" t="s">
        <v>15</v>
      </c>
      <c r="D210" t="s">
        <v>18</v>
      </c>
      <c r="E210">
        <v>63457.19</v>
      </c>
      <c r="F210">
        <v>10125</v>
      </c>
      <c r="G210">
        <v>9.7000000000000003E-2</v>
      </c>
      <c r="H210">
        <v>24</v>
      </c>
      <c r="I210">
        <v>87</v>
      </c>
      <c r="J210">
        <v>3.84</v>
      </c>
      <c r="K210">
        <v>1</v>
      </c>
      <c r="L210">
        <v>3.7</v>
      </c>
      <c r="M210">
        <v>810446.53</v>
      </c>
      <c r="N210">
        <v>200575.34</v>
      </c>
      <c r="O210">
        <f t="shared" si="18"/>
        <v>1</v>
      </c>
      <c r="P210">
        <f t="shared" si="19"/>
        <v>0</v>
      </c>
      <c r="Q210">
        <f t="shared" si="20"/>
        <v>0</v>
      </c>
      <c r="R210">
        <f t="shared" si="21"/>
        <v>0</v>
      </c>
      <c r="S210">
        <f t="shared" si="22"/>
        <v>1</v>
      </c>
      <c r="T210">
        <f t="shared" si="23"/>
        <v>0</v>
      </c>
    </row>
    <row r="211" spans="1:20">
      <c r="A211" t="s">
        <v>74</v>
      </c>
      <c r="B211" s="2">
        <v>45689</v>
      </c>
      <c r="C211" t="s">
        <v>15</v>
      </c>
      <c r="D211" t="s">
        <v>18</v>
      </c>
      <c r="E211">
        <v>62949.7</v>
      </c>
      <c r="F211">
        <v>9458</v>
      </c>
      <c r="G211">
        <v>0.17100000000000001</v>
      </c>
      <c r="H211">
        <v>19</v>
      </c>
      <c r="I211">
        <v>84.9</v>
      </c>
      <c r="J211">
        <v>5.09</v>
      </c>
      <c r="K211">
        <v>0</v>
      </c>
      <c r="L211">
        <v>3.3</v>
      </c>
      <c r="M211">
        <v>691288.19</v>
      </c>
      <c r="N211">
        <v>159074.14000000001</v>
      </c>
      <c r="O211">
        <f t="shared" si="18"/>
        <v>1</v>
      </c>
      <c r="P211">
        <f t="shared" si="19"/>
        <v>0</v>
      </c>
      <c r="Q211">
        <f t="shared" si="20"/>
        <v>0</v>
      </c>
      <c r="R211">
        <f t="shared" si="21"/>
        <v>0</v>
      </c>
      <c r="S211">
        <f t="shared" si="22"/>
        <v>1</v>
      </c>
      <c r="T211">
        <f t="shared" si="23"/>
        <v>0</v>
      </c>
    </row>
    <row r="212" spans="1:20">
      <c r="A212" t="s">
        <v>74</v>
      </c>
      <c r="B212" s="2">
        <v>45717</v>
      </c>
      <c r="C212" t="s">
        <v>15</v>
      </c>
      <c r="D212" t="s">
        <v>18</v>
      </c>
      <c r="E212">
        <v>107970.19</v>
      </c>
      <c r="F212">
        <v>12870</v>
      </c>
      <c r="G212">
        <v>2.9000000000000001E-2</v>
      </c>
      <c r="H212">
        <v>31</v>
      </c>
      <c r="I212">
        <v>91.7</v>
      </c>
      <c r="J212">
        <v>3.82</v>
      </c>
      <c r="K212">
        <v>1</v>
      </c>
      <c r="L212">
        <v>3.7</v>
      </c>
      <c r="M212">
        <v>946833.54</v>
      </c>
      <c r="N212">
        <v>184540.31</v>
      </c>
      <c r="O212">
        <f t="shared" si="18"/>
        <v>1</v>
      </c>
      <c r="P212">
        <f t="shared" si="19"/>
        <v>0</v>
      </c>
      <c r="Q212">
        <f t="shared" si="20"/>
        <v>0</v>
      </c>
      <c r="R212">
        <f t="shared" si="21"/>
        <v>0</v>
      </c>
      <c r="S212">
        <f t="shared" si="22"/>
        <v>1</v>
      </c>
      <c r="T212">
        <f t="shared" si="23"/>
        <v>0</v>
      </c>
    </row>
    <row r="213" spans="1:20">
      <c r="A213" t="s">
        <v>74</v>
      </c>
      <c r="B213" s="2">
        <v>45748</v>
      </c>
      <c r="C213" t="s">
        <v>15</v>
      </c>
      <c r="D213" t="s">
        <v>18</v>
      </c>
      <c r="E213">
        <v>49405.75</v>
      </c>
      <c r="F213">
        <v>9752</v>
      </c>
      <c r="G213">
        <v>9.2999999999999999E-2</v>
      </c>
      <c r="H213">
        <v>21</v>
      </c>
      <c r="I213">
        <v>87</v>
      </c>
      <c r="J213">
        <v>12.28</v>
      </c>
      <c r="K213">
        <v>0</v>
      </c>
      <c r="L213">
        <v>4.0999999999999996</v>
      </c>
      <c r="M213">
        <v>761963.23</v>
      </c>
      <c r="N213">
        <v>150113.60999999999</v>
      </c>
      <c r="O213">
        <f t="shared" si="18"/>
        <v>1</v>
      </c>
      <c r="P213">
        <f t="shared" si="19"/>
        <v>0</v>
      </c>
      <c r="Q213">
        <f t="shared" si="20"/>
        <v>0</v>
      </c>
      <c r="R213">
        <f t="shared" si="21"/>
        <v>0</v>
      </c>
      <c r="S213">
        <f t="shared" si="22"/>
        <v>1</v>
      </c>
      <c r="T213">
        <f t="shared" si="23"/>
        <v>0</v>
      </c>
    </row>
    <row r="214" spans="1:20">
      <c r="A214" t="s">
        <v>75</v>
      </c>
      <c r="B214" s="2">
        <v>45658</v>
      </c>
      <c r="C214" t="s">
        <v>27</v>
      </c>
      <c r="D214" t="s">
        <v>16</v>
      </c>
      <c r="E214">
        <v>50887.46</v>
      </c>
      <c r="F214">
        <v>9505</v>
      </c>
      <c r="G214">
        <v>9.0999999999999998E-2</v>
      </c>
      <c r="H214">
        <v>25</v>
      </c>
      <c r="I214">
        <v>89.7</v>
      </c>
      <c r="J214">
        <v>2.8</v>
      </c>
      <c r="K214">
        <v>0</v>
      </c>
      <c r="L214">
        <v>4.3</v>
      </c>
      <c r="M214">
        <v>812152.6</v>
      </c>
      <c r="N214">
        <v>138419.43</v>
      </c>
      <c r="O214">
        <f t="shared" si="18"/>
        <v>0</v>
      </c>
      <c r="P214">
        <f t="shared" si="19"/>
        <v>0</v>
      </c>
      <c r="Q214">
        <f t="shared" si="20"/>
        <v>0</v>
      </c>
      <c r="R214">
        <f t="shared" si="21"/>
        <v>1</v>
      </c>
      <c r="S214">
        <f t="shared" si="22"/>
        <v>0</v>
      </c>
      <c r="T214">
        <f t="shared" si="23"/>
        <v>0</v>
      </c>
    </row>
    <row r="215" spans="1:20">
      <c r="A215" t="s">
        <v>75</v>
      </c>
      <c r="B215" s="2">
        <v>45689</v>
      </c>
      <c r="C215" t="s">
        <v>27</v>
      </c>
      <c r="D215" t="s">
        <v>16</v>
      </c>
      <c r="E215">
        <v>41819.449999999997</v>
      </c>
      <c r="F215">
        <v>9412</v>
      </c>
      <c r="G215">
        <v>0.15</v>
      </c>
      <c r="H215">
        <v>22</v>
      </c>
      <c r="I215">
        <v>91</v>
      </c>
      <c r="J215">
        <v>3.67</v>
      </c>
      <c r="K215">
        <v>0</v>
      </c>
      <c r="L215">
        <v>4.2</v>
      </c>
      <c r="M215">
        <v>804975.5</v>
      </c>
      <c r="N215">
        <v>140054.5</v>
      </c>
      <c r="O215">
        <f t="shared" si="18"/>
        <v>0</v>
      </c>
      <c r="P215">
        <f t="shared" si="19"/>
        <v>0</v>
      </c>
      <c r="Q215">
        <f t="shared" si="20"/>
        <v>0</v>
      </c>
      <c r="R215">
        <f t="shared" si="21"/>
        <v>1</v>
      </c>
      <c r="S215">
        <f t="shared" si="22"/>
        <v>0</v>
      </c>
      <c r="T215">
        <f t="shared" si="23"/>
        <v>0</v>
      </c>
    </row>
    <row r="216" spans="1:20">
      <c r="A216" t="s">
        <v>75</v>
      </c>
      <c r="B216" s="2">
        <v>45717</v>
      </c>
      <c r="C216" t="s">
        <v>27</v>
      </c>
      <c r="D216" t="s">
        <v>16</v>
      </c>
      <c r="E216">
        <v>35296.54</v>
      </c>
      <c r="F216">
        <v>9644</v>
      </c>
      <c r="G216">
        <v>0</v>
      </c>
      <c r="H216">
        <v>22</v>
      </c>
      <c r="I216">
        <v>88</v>
      </c>
      <c r="J216">
        <v>2.81</v>
      </c>
      <c r="K216">
        <v>0</v>
      </c>
      <c r="L216">
        <v>4.7</v>
      </c>
      <c r="M216">
        <v>752321.72</v>
      </c>
      <c r="N216">
        <v>137788.51</v>
      </c>
      <c r="O216">
        <f t="shared" si="18"/>
        <v>0</v>
      </c>
      <c r="P216">
        <f t="shared" si="19"/>
        <v>0</v>
      </c>
      <c r="Q216">
        <f t="shared" si="20"/>
        <v>0</v>
      </c>
      <c r="R216">
        <f t="shared" si="21"/>
        <v>1</v>
      </c>
      <c r="S216">
        <f t="shared" si="22"/>
        <v>0</v>
      </c>
      <c r="T216">
        <f t="shared" si="23"/>
        <v>0</v>
      </c>
    </row>
    <row r="217" spans="1:20">
      <c r="A217" t="s">
        <v>75</v>
      </c>
      <c r="B217" s="2">
        <v>45748</v>
      </c>
      <c r="C217" t="s">
        <v>27</v>
      </c>
      <c r="D217" t="s">
        <v>16</v>
      </c>
      <c r="E217">
        <v>47391.09</v>
      </c>
      <c r="F217">
        <v>11224</v>
      </c>
      <c r="G217">
        <v>0.14699999999999999</v>
      </c>
      <c r="H217">
        <v>25</v>
      </c>
      <c r="I217">
        <v>88.4</v>
      </c>
      <c r="J217">
        <v>2.44</v>
      </c>
      <c r="K217">
        <v>0</v>
      </c>
      <c r="L217">
        <v>4.9000000000000004</v>
      </c>
      <c r="M217">
        <v>836908.24</v>
      </c>
      <c r="N217">
        <v>141090.26</v>
      </c>
      <c r="O217">
        <f t="shared" si="18"/>
        <v>0</v>
      </c>
      <c r="P217">
        <f t="shared" si="19"/>
        <v>0</v>
      </c>
      <c r="Q217">
        <f t="shared" si="20"/>
        <v>0</v>
      </c>
      <c r="R217">
        <f t="shared" si="21"/>
        <v>1</v>
      </c>
      <c r="S217">
        <f t="shared" si="22"/>
        <v>0</v>
      </c>
      <c r="T217">
        <f t="shared" si="23"/>
        <v>0</v>
      </c>
    </row>
    <row r="218" spans="1:20">
      <c r="A218" t="s">
        <v>76</v>
      </c>
      <c r="B218" s="2">
        <v>45658</v>
      </c>
      <c r="C218" t="s">
        <v>20</v>
      </c>
      <c r="D218" t="s">
        <v>21</v>
      </c>
      <c r="E218">
        <v>69180.539999999994</v>
      </c>
      <c r="F218">
        <v>5394</v>
      </c>
      <c r="G218">
        <v>0.126</v>
      </c>
      <c r="H218">
        <v>12</v>
      </c>
      <c r="I218">
        <v>82.9</v>
      </c>
      <c r="J218">
        <v>3.27</v>
      </c>
      <c r="K218">
        <v>0</v>
      </c>
      <c r="L218">
        <v>3.3</v>
      </c>
      <c r="M218">
        <v>674289.1</v>
      </c>
      <c r="N218">
        <v>117773.79</v>
      </c>
      <c r="O218">
        <f t="shared" si="18"/>
        <v>0</v>
      </c>
      <c r="P218">
        <f t="shared" si="19"/>
        <v>1</v>
      </c>
      <c r="Q218">
        <f t="shared" si="20"/>
        <v>0</v>
      </c>
      <c r="R218">
        <f t="shared" si="21"/>
        <v>0</v>
      </c>
      <c r="S218">
        <f t="shared" si="22"/>
        <v>0</v>
      </c>
      <c r="T218">
        <f t="shared" si="23"/>
        <v>1</v>
      </c>
    </row>
    <row r="219" spans="1:20">
      <c r="A219" t="s">
        <v>76</v>
      </c>
      <c r="B219" s="2">
        <v>45689</v>
      </c>
      <c r="C219" t="s">
        <v>20</v>
      </c>
      <c r="D219" t="s">
        <v>21</v>
      </c>
      <c r="E219">
        <v>33987.33</v>
      </c>
      <c r="F219">
        <v>5014</v>
      </c>
      <c r="G219">
        <v>0.246</v>
      </c>
      <c r="H219">
        <v>17</v>
      </c>
      <c r="I219">
        <v>94.3</v>
      </c>
      <c r="J219">
        <v>10.34</v>
      </c>
      <c r="K219">
        <v>0</v>
      </c>
      <c r="L219">
        <v>3.9</v>
      </c>
      <c r="M219">
        <v>622892.42000000004</v>
      </c>
      <c r="N219">
        <v>101032.52</v>
      </c>
      <c r="O219">
        <f t="shared" si="18"/>
        <v>0</v>
      </c>
      <c r="P219">
        <f t="shared" si="19"/>
        <v>1</v>
      </c>
      <c r="Q219">
        <f t="shared" si="20"/>
        <v>0</v>
      </c>
      <c r="R219">
        <f t="shared" si="21"/>
        <v>0</v>
      </c>
      <c r="S219">
        <f t="shared" si="22"/>
        <v>0</v>
      </c>
      <c r="T219">
        <f t="shared" si="23"/>
        <v>1</v>
      </c>
    </row>
    <row r="220" spans="1:20">
      <c r="A220" t="s">
        <v>76</v>
      </c>
      <c r="B220" s="2">
        <v>45717</v>
      </c>
      <c r="C220" t="s">
        <v>20</v>
      </c>
      <c r="D220" t="s">
        <v>21</v>
      </c>
      <c r="E220">
        <v>58785.33</v>
      </c>
      <c r="F220">
        <v>4467</v>
      </c>
      <c r="G220">
        <v>0.22900000000000001</v>
      </c>
      <c r="H220">
        <v>14</v>
      </c>
      <c r="I220">
        <v>90.7</v>
      </c>
      <c r="J220">
        <v>1.92</v>
      </c>
      <c r="K220">
        <v>0</v>
      </c>
      <c r="L220">
        <v>3.7</v>
      </c>
      <c r="M220">
        <v>673348.56</v>
      </c>
      <c r="N220">
        <v>69464.59</v>
      </c>
      <c r="O220">
        <f t="shared" si="18"/>
        <v>0</v>
      </c>
      <c r="P220">
        <f t="shared" si="19"/>
        <v>1</v>
      </c>
      <c r="Q220">
        <f t="shared" si="20"/>
        <v>0</v>
      </c>
      <c r="R220">
        <f t="shared" si="21"/>
        <v>0</v>
      </c>
      <c r="S220">
        <f t="shared" si="22"/>
        <v>0</v>
      </c>
      <c r="T220">
        <f t="shared" si="23"/>
        <v>1</v>
      </c>
    </row>
    <row r="221" spans="1:20">
      <c r="A221" t="s">
        <v>76</v>
      </c>
      <c r="B221" s="2">
        <v>45748</v>
      </c>
      <c r="C221" t="s">
        <v>20</v>
      </c>
      <c r="D221" t="s">
        <v>21</v>
      </c>
      <c r="E221">
        <v>16451.849999999999</v>
      </c>
      <c r="F221">
        <v>4678</v>
      </c>
      <c r="G221">
        <v>0.13300000000000001</v>
      </c>
      <c r="H221">
        <v>11</v>
      </c>
      <c r="I221">
        <v>95.9</v>
      </c>
      <c r="J221">
        <v>3.1</v>
      </c>
      <c r="K221">
        <v>0</v>
      </c>
      <c r="L221">
        <v>3.9</v>
      </c>
      <c r="M221">
        <v>606278.30000000005</v>
      </c>
      <c r="N221">
        <v>102213.26</v>
      </c>
      <c r="O221">
        <f t="shared" si="18"/>
        <v>0</v>
      </c>
      <c r="P221">
        <f t="shared" si="19"/>
        <v>1</v>
      </c>
      <c r="Q221">
        <f t="shared" si="20"/>
        <v>0</v>
      </c>
      <c r="R221">
        <f t="shared" si="21"/>
        <v>0</v>
      </c>
      <c r="S221">
        <f t="shared" si="22"/>
        <v>0</v>
      </c>
      <c r="T221">
        <f t="shared" si="23"/>
        <v>1</v>
      </c>
    </row>
    <row r="222" spans="1:20">
      <c r="A222" t="s">
        <v>77</v>
      </c>
      <c r="B222" s="2">
        <v>45658</v>
      </c>
      <c r="C222" t="s">
        <v>15</v>
      </c>
      <c r="D222" t="s">
        <v>18</v>
      </c>
      <c r="E222">
        <v>53367.73</v>
      </c>
      <c r="F222">
        <v>7291</v>
      </c>
      <c r="G222">
        <v>0.14599999999999999</v>
      </c>
      <c r="H222">
        <v>18</v>
      </c>
      <c r="I222">
        <v>90.6</v>
      </c>
      <c r="J222">
        <v>6.34</v>
      </c>
      <c r="K222">
        <v>1</v>
      </c>
      <c r="L222">
        <v>3.8</v>
      </c>
      <c r="M222">
        <v>712219.81</v>
      </c>
      <c r="N222">
        <v>85906.54</v>
      </c>
      <c r="O222">
        <f t="shared" si="18"/>
        <v>1</v>
      </c>
      <c r="P222">
        <f t="shared" si="19"/>
        <v>0</v>
      </c>
      <c r="Q222">
        <f t="shared" si="20"/>
        <v>0</v>
      </c>
      <c r="R222">
        <f t="shared" si="21"/>
        <v>0</v>
      </c>
      <c r="S222">
        <f t="shared" si="22"/>
        <v>1</v>
      </c>
      <c r="T222">
        <f t="shared" si="23"/>
        <v>0</v>
      </c>
    </row>
    <row r="223" spans="1:20">
      <c r="A223" t="s">
        <v>77</v>
      </c>
      <c r="B223" s="2">
        <v>45689</v>
      </c>
      <c r="C223" t="s">
        <v>15</v>
      </c>
      <c r="D223" t="s">
        <v>18</v>
      </c>
      <c r="E223">
        <v>27194.639999999999</v>
      </c>
      <c r="F223">
        <v>7404</v>
      </c>
      <c r="G223">
        <v>8.7999999999999995E-2</v>
      </c>
      <c r="H223">
        <v>18</v>
      </c>
      <c r="I223">
        <v>90.2</v>
      </c>
      <c r="J223">
        <v>1.2</v>
      </c>
      <c r="K223">
        <v>0</v>
      </c>
      <c r="L223">
        <v>3.4</v>
      </c>
      <c r="M223">
        <v>672670.54</v>
      </c>
      <c r="N223">
        <v>132684.18</v>
      </c>
      <c r="O223">
        <f t="shared" si="18"/>
        <v>1</v>
      </c>
      <c r="P223">
        <f t="shared" si="19"/>
        <v>0</v>
      </c>
      <c r="Q223">
        <f t="shared" si="20"/>
        <v>0</v>
      </c>
      <c r="R223">
        <f t="shared" si="21"/>
        <v>0</v>
      </c>
      <c r="S223">
        <f t="shared" si="22"/>
        <v>1</v>
      </c>
      <c r="T223">
        <f t="shared" si="23"/>
        <v>0</v>
      </c>
    </row>
    <row r="224" spans="1:20">
      <c r="A224" t="s">
        <v>77</v>
      </c>
      <c r="B224" s="2">
        <v>45717</v>
      </c>
      <c r="C224" t="s">
        <v>15</v>
      </c>
      <c r="D224" t="s">
        <v>18</v>
      </c>
      <c r="E224">
        <v>66962.740000000005</v>
      </c>
      <c r="F224">
        <v>7880</v>
      </c>
      <c r="G224">
        <v>0.11600000000000001</v>
      </c>
      <c r="H224">
        <v>19</v>
      </c>
      <c r="I224">
        <v>90.4</v>
      </c>
      <c r="J224">
        <v>4.5</v>
      </c>
      <c r="K224">
        <v>0</v>
      </c>
      <c r="L224">
        <v>3.3</v>
      </c>
      <c r="M224">
        <v>732667.92</v>
      </c>
      <c r="N224">
        <v>128654.46</v>
      </c>
      <c r="O224">
        <f t="shared" si="18"/>
        <v>1</v>
      </c>
      <c r="P224">
        <f t="shared" si="19"/>
        <v>0</v>
      </c>
      <c r="Q224">
        <f t="shared" si="20"/>
        <v>0</v>
      </c>
      <c r="R224">
        <f t="shared" si="21"/>
        <v>0</v>
      </c>
      <c r="S224">
        <f t="shared" si="22"/>
        <v>1</v>
      </c>
      <c r="T224">
        <f t="shared" si="23"/>
        <v>0</v>
      </c>
    </row>
    <row r="225" spans="1:20">
      <c r="A225" t="s">
        <v>77</v>
      </c>
      <c r="B225" s="2">
        <v>45748</v>
      </c>
      <c r="C225" t="s">
        <v>15</v>
      </c>
      <c r="D225" t="s">
        <v>18</v>
      </c>
      <c r="E225">
        <v>73540.990000000005</v>
      </c>
      <c r="F225">
        <v>8773</v>
      </c>
      <c r="G225">
        <v>3.5000000000000003E-2</v>
      </c>
      <c r="H225">
        <v>21</v>
      </c>
      <c r="I225">
        <v>84.4</v>
      </c>
      <c r="J225">
        <v>6.68</v>
      </c>
      <c r="K225">
        <v>0</v>
      </c>
      <c r="L225">
        <v>3.6</v>
      </c>
      <c r="M225">
        <v>723531.4</v>
      </c>
      <c r="N225">
        <v>108794.85</v>
      </c>
      <c r="O225">
        <f t="shared" si="18"/>
        <v>1</v>
      </c>
      <c r="P225">
        <f t="shared" si="19"/>
        <v>0</v>
      </c>
      <c r="Q225">
        <f t="shared" si="20"/>
        <v>0</v>
      </c>
      <c r="R225">
        <f t="shared" si="21"/>
        <v>0</v>
      </c>
      <c r="S225">
        <f t="shared" si="22"/>
        <v>1</v>
      </c>
      <c r="T225">
        <f t="shared" si="23"/>
        <v>0</v>
      </c>
    </row>
    <row r="226" spans="1:20">
      <c r="A226" t="s">
        <v>78</v>
      </c>
      <c r="B226" s="2">
        <v>45658</v>
      </c>
      <c r="C226" t="s">
        <v>15</v>
      </c>
      <c r="D226" t="s">
        <v>28</v>
      </c>
      <c r="E226">
        <v>68212.289999999994</v>
      </c>
      <c r="F226">
        <v>4713</v>
      </c>
      <c r="G226">
        <v>0.19800000000000001</v>
      </c>
      <c r="H226">
        <v>15</v>
      </c>
      <c r="I226">
        <v>82.6</v>
      </c>
      <c r="J226">
        <v>4.07</v>
      </c>
      <c r="K226">
        <v>1</v>
      </c>
      <c r="L226">
        <v>3</v>
      </c>
      <c r="M226">
        <v>641564.6</v>
      </c>
      <c r="N226">
        <v>90468.96</v>
      </c>
      <c r="O226">
        <f t="shared" si="18"/>
        <v>1</v>
      </c>
      <c r="P226">
        <f t="shared" si="19"/>
        <v>0</v>
      </c>
      <c r="Q226">
        <f t="shared" si="20"/>
        <v>0</v>
      </c>
      <c r="R226">
        <f t="shared" si="21"/>
        <v>0</v>
      </c>
      <c r="S226">
        <f t="shared" si="22"/>
        <v>0</v>
      </c>
      <c r="T226">
        <f t="shared" si="23"/>
        <v>0</v>
      </c>
    </row>
    <row r="227" spans="1:20">
      <c r="A227" t="s">
        <v>78</v>
      </c>
      <c r="B227" s="2">
        <v>45689</v>
      </c>
      <c r="C227" t="s">
        <v>15</v>
      </c>
      <c r="D227" t="s">
        <v>28</v>
      </c>
      <c r="E227">
        <v>57225.98</v>
      </c>
      <c r="F227">
        <v>2842</v>
      </c>
      <c r="G227">
        <v>0.112</v>
      </c>
      <c r="H227">
        <v>10</v>
      </c>
      <c r="I227">
        <v>79.5</v>
      </c>
      <c r="J227">
        <v>5.45</v>
      </c>
      <c r="K227">
        <v>0</v>
      </c>
      <c r="L227">
        <v>3.4</v>
      </c>
      <c r="M227">
        <v>536545.49</v>
      </c>
      <c r="N227">
        <v>97917.45</v>
      </c>
      <c r="O227">
        <f t="shared" si="18"/>
        <v>1</v>
      </c>
      <c r="P227">
        <f t="shared" si="19"/>
        <v>0</v>
      </c>
      <c r="Q227">
        <f t="shared" si="20"/>
        <v>0</v>
      </c>
      <c r="R227">
        <f t="shared" si="21"/>
        <v>0</v>
      </c>
      <c r="S227">
        <f t="shared" si="22"/>
        <v>0</v>
      </c>
      <c r="T227">
        <f t="shared" si="23"/>
        <v>0</v>
      </c>
    </row>
    <row r="228" spans="1:20">
      <c r="A228" t="s">
        <v>78</v>
      </c>
      <c r="B228" s="2">
        <v>45717</v>
      </c>
      <c r="C228" t="s">
        <v>15</v>
      </c>
      <c r="D228" t="s">
        <v>28</v>
      </c>
      <c r="E228">
        <v>42932.02</v>
      </c>
      <c r="F228">
        <v>3872</v>
      </c>
      <c r="G228">
        <v>0.17100000000000001</v>
      </c>
      <c r="H228">
        <v>12</v>
      </c>
      <c r="I228">
        <v>83.2</v>
      </c>
      <c r="J228">
        <v>15.58</v>
      </c>
      <c r="K228">
        <v>0</v>
      </c>
      <c r="L228">
        <v>3.3</v>
      </c>
      <c r="M228">
        <v>527681.56000000006</v>
      </c>
      <c r="N228">
        <v>63153.05</v>
      </c>
      <c r="O228">
        <f t="shared" si="18"/>
        <v>1</v>
      </c>
      <c r="P228">
        <f t="shared" si="19"/>
        <v>0</v>
      </c>
      <c r="Q228">
        <f t="shared" si="20"/>
        <v>0</v>
      </c>
      <c r="R228">
        <f t="shared" si="21"/>
        <v>0</v>
      </c>
      <c r="S228">
        <f t="shared" si="22"/>
        <v>0</v>
      </c>
      <c r="T228">
        <f t="shared" si="23"/>
        <v>0</v>
      </c>
    </row>
    <row r="229" spans="1:20">
      <c r="A229" t="s">
        <v>78</v>
      </c>
      <c r="B229" s="2">
        <v>45748</v>
      </c>
      <c r="C229" t="s">
        <v>15</v>
      </c>
      <c r="D229" t="s">
        <v>28</v>
      </c>
      <c r="E229">
        <v>39341.449999999997</v>
      </c>
      <c r="F229">
        <v>1375</v>
      </c>
      <c r="G229">
        <v>9.2999999999999999E-2</v>
      </c>
      <c r="H229">
        <v>5</v>
      </c>
      <c r="I229">
        <v>95</v>
      </c>
      <c r="J229">
        <v>5.32</v>
      </c>
      <c r="K229">
        <v>0</v>
      </c>
      <c r="L229">
        <f>3.924</f>
        <v>3.9239999999999999</v>
      </c>
      <c r="M229">
        <v>529598.93999999994</v>
      </c>
      <c r="N229">
        <v>84334.33</v>
      </c>
      <c r="O229">
        <f t="shared" si="18"/>
        <v>1</v>
      </c>
      <c r="P229">
        <f t="shared" si="19"/>
        <v>0</v>
      </c>
      <c r="Q229">
        <f t="shared" si="20"/>
        <v>0</v>
      </c>
      <c r="R229">
        <f t="shared" si="21"/>
        <v>0</v>
      </c>
      <c r="S229">
        <f t="shared" si="22"/>
        <v>0</v>
      </c>
      <c r="T229">
        <f t="shared" si="23"/>
        <v>0</v>
      </c>
    </row>
    <row r="230" spans="1:20">
      <c r="A230" t="s">
        <v>79</v>
      </c>
      <c r="B230" s="2">
        <v>45658</v>
      </c>
      <c r="C230" t="s">
        <v>15</v>
      </c>
      <c r="D230" t="s">
        <v>18</v>
      </c>
      <c r="E230">
        <v>37324.230000000003</v>
      </c>
      <c r="F230">
        <v>5957</v>
      </c>
      <c r="G230">
        <v>7.0999999999999994E-2</v>
      </c>
      <c r="H230">
        <v>12</v>
      </c>
      <c r="I230">
        <v>85.9</v>
      </c>
      <c r="J230">
        <v>0.37</v>
      </c>
      <c r="K230">
        <v>0</v>
      </c>
      <c r="L230">
        <v>3.8</v>
      </c>
      <c r="M230">
        <v>570963.31000000006</v>
      </c>
      <c r="N230">
        <v>87342.25</v>
      </c>
      <c r="O230">
        <f t="shared" si="18"/>
        <v>1</v>
      </c>
      <c r="P230">
        <f t="shared" si="19"/>
        <v>0</v>
      </c>
      <c r="Q230">
        <f t="shared" si="20"/>
        <v>0</v>
      </c>
      <c r="R230">
        <f t="shared" si="21"/>
        <v>0</v>
      </c>
      <c r="S230">
        <f t="shared" si="22"/>
        <v>1</v>
      </c>
      <c r="T230">
        <f t="shared" si="23"/>
        <v>0</v>
      </c>
    </row>
    <row r="231" spans="1:20">
      <c r="A231" t="s">
        <v>79</v>
      </c>
      <c r="B231" s="2">
        <v>45689</v>
      </c>
      <c r="C231" t="s">
        <v>15</v>
      </c>
      <c r="D231" t="s">
        <v>18</v>
      </c>
      <c r="E231">
        <v>113736</v>
      </c>
      <c r="F231">
        <v>8961</v>
      </c>
      <c r="G231">
        <v>0.20200000000000001</v>
      </c>
      <c r="H231">
        <v>24</v>
      </c>
      <c r="I231">
        <v>86.2</v>
      </c>
      <c r="J231">
        <v>21.63</v>
      </c>
      <c r="K231">
        <v>0</v>
      </c>
      <c r="L231">
        <v>4</v>
      </c>
      <c r="M231">
        <v>870937.4</v>
      </c>
      <c r="N231">
        <v>175282.74</v>
      </c>
      <c r="O231">
        <f t="shared" si="18"/>
        <v>1</v>
      </c>
      <c r="P231">
        <f t="shared" si="19"/>
        <v>0</v>
      </c>
      <c r="Q231">
        <f t="shared" si="20"/>
        <v>0</v>
      </c>
      <c r="R231">
        <f t="shared" si="21"/>
        <v>0</v>
      </c>
      <c r="S231">
        <f t="shared" si="22"/>
        <v>1</v>
      </c>
      <c r="T231">
        <f t="shared" si="23"/>
        <v>0</v>
      </c>
    </row>
    <row r="232" spans="1:20">
      <c r="A232" t="s">
        <v>79</v>
      </c>
      <c r="B232" s="2">
        <v>45717</v>
      </c>
      <c r="C232" t="s">
        <v>15</v>
      </c>
      <c r="D232" t="s">
        <v>18</v>
      </c>
      <c r="E232">
        <v>33173.949999999997</v>
      </c>
      <c r="F232">
        <v>6545</v>
      </c>
      <c r="G232">
        <v>0.16900000000000001</v>
      </c>
      <c r="H232">
        <v>15</v>
      </c>
      <c r="I232">
        <v>84.4</v>
      </c>
      <c r="J232">
        <v>2.48</v>
      </c>
      <c r="K232">
        <v>0</v>
      </c>
      <c r="L232">
        <v>3.9</v>
      </c>
      <c r="M232">
        <v>596969.27</v>
      </c>
      <c r="N232">
        <v>105669.51</v>
      </c>
      <c r="O232">
        <f t="shared" si="18"/>
        <v>1</v>
      </c>
      <c r="P232">
        <f t="shared" si="19"/>
        <v>0</v>
      </c>
      <c r="Q232">
        <f t="shared" si="20"/>
        <v>0</v>
      </c>
      <c r="R232">
        <f t="shared" si="21"/>
        <v>0</v>
      </c>
      <c r="S232">
        <f t="shared" si="22"/>
        <v>1</v>
      </c>
      <c r="T232">
        <f t="shared" si="23"/>
        <v>0</v>
      </c>
    </row>
    <row r="233" spans="1:20">
      <c r="A233" t="s">
        <v>79</v>
      </c>
      <c r="B233" s="2">
        <v>45748</v>
      </c>
      <c r="C233" t="s">
        <v>15</v>
      </c>
      <c r="D233" t="s">
        <v>18</v>
      </c>
      <c r="E233">
        <v>25818.080000000002</v>
      </c>
      <c r="F233">
        <v>5457</v>
      </c>
      <c r="G233">
        <v>0</v>
      </c>
      <c r="H233">
        <v>11</v>
      </c>
      <c r="I233">
        <v>95.4</v>
      </c>
      <c r="J233">
        <f>O71</f>
        <v>1</v>
      </c>
      <c r="K233">
        <v>0</v>
      </c>
      <c r="L233">
        <v>3.7</v>
      </c>
      <c r="M233">
        <v>647512.85</v>
      </c>
      <c r="N233">
        <v>153835.57</v>
      </c>
      <c r="O233">
        <f t="shared" si="18"/>
        <v>1</v>
      </c>
      <c r="P233">
        <f t="shared" si="19"/>
        <v>0</v>
      </c>
      <c r="Q233">
        <f t="shared" si="20"/>
        <v>0</v>
      </c>
      <c r="R233">
        <f t="shared" si="21"/>
        <v>0</v>
      </c>
      <c r="S233">
        <f t="shared" si="22"/>
        <v>1</v>
      </c>
      <c r="T233">
        <f t="shared" si="23"/>
        <v>0</v>
      </c>
    </row>
    <row r="234" spans="1:20">
      <c r="A234" t="s">
        <v>80</v>
      </c>
      <c r="B234" s="2">
        <v>45658</v>
      </c>
      <c r="C234" t="s">
        <v>27</v>
      </c>
      <c r="D234" t="s">
        <v>16</v>
      </c>
      <c r="E234">
        <v>47241.919999999998</v>
      </c>
      <c r="F234">
        <v>4264</v>
      </c>
      <c r="G234">
        <v>6.9000000000000006E-2</v>
      </c>
      <c r="H234">
        <v>13</v>
      </c>
      <c r="I234">
        <v>95.3</v>
      </c>
      <c r="J234">
        <v>0.85</v>
      </c>
      <c r="K234">
        <v>0</v>
      </c>
      <c r="L234">
        <v>4.3</v>
      </c>
      <c r="M234">
        <v>658072.14</v>
      </c>
      <c r="N234">
        <v>110595.89</v>
      </c>
      <c r="O234">
        <f t="shared" si="18"/>
        <v>0</v>
      </c>
      <c r="P234">
        <f t="shared" si="19"/>
        <v>0</v>
      </c>
      <c r="Q234">
        <f t="shared" si="20"/>
        <v>0</v>
      </c>
      <c r="R234">
        <f t="shared" si="21"/>
        <v>1</v>
      </c>
      <c r="S234">
        <f t="shared" si="22"/>
        <v>0</v>
      </c>
      <c r="T234">
        <f t="shared" si="23"/>
        <v>0</v>
      </c>
    </row>
    <row r="235" spans="1:20">
      <c r="A235" t="s">
        <v>80</v>
      </c>
      <c r="B235" s="2">
        <v>45689</v>
      </c>
      <c r="C235" t="s">
        <v>27</v>
      </c>
      <c r="D235" t="s">
        <v>16</v>
      </c>
      <c r="E235">
        <v>61650.79</v>
      </c>
      <c r="F235">
        <v>5321</v>
      </c>
      <c r="G235">
        <v>0.126</v>
      </c>
      <c r="H235">
        <v>17</v>
      </c>
      <c r="I235">
        <v>89.2</v>
      </c>
      <c r="J235">
        <v>2.13</v>
      </c>
      <c r="K235">
        <v>0</v>
      </c>
      <c r="L235">
        <v>4</v>
      </c>
      <c r="M235">
        <v>723305.11</v>
      </c>
      <c r="N235">
        <v>128468.7</v>
      </c>
      <c r="O235">
        <f t="shared" si="18"/>
        <v>0</v>
      </c>
      <c r="P235">
        <f t="shared" si="19"/>
        <v>0</v>
      </c>
      <c r="Q235">
        <f t="shared" si="20"/>
        <v>0</v>
      </c>
      <c r="R235">
        <f t="shared" si="21"/>
        <v>1</v>
      </c>
      <c r="S235">
        <f t="shared" si="22"/>
        <v>0</v>
      </c>
      <c r="T235">
        <f t="shared" si="23"/>
        <v>0</v>
      </c>
    </row>
    <row r="236" spans="1:20">
      <c r="A236" t="s">
        <v>80</v>
      </c>
      <c r="B236" s="2">
        <v>45717</v>
      </c>
      <c r="C236" t="s">
        <v>27</v>
      </c>
      <c r="D236" t="s">
        <v>16</v>
      </c>
      <c r="E236">
        <v>62582.71</v>
      </c>
      <c r="F236">
        <v>5479</v>
      </c>
      <c r="G236">
        <v>4.8000000000000001E-2</v>
      </c>
      <c r="H236">
        <v>16</v>
      </c>
      <c r="I236">
        <v>81.2</v>
      </c>
      <c r="J236">
        <v>1.46</v>
      </c>
      <c r="K236">
        <v>0</v>
      </c>
      <c r="L236">
        <v>4.5</v>
      </c>
      <c r="M236">
        <v>640666.53</v>
      </c>
      <c r="N236">
        <v>134919.16</v>
      </c>
      <c r="O236">
        <f t="shared" si="18"/>
        <v>0</v>
      </c>
      <c r="P236">
        <f t="shared" si="19"/>
        <v>0</v>
      </c>
      <c r="Q236">
        <f t="shared" si="20"/>
        <v>0</v>
      </c>
      <c r="R236">
        <f t="shared" si="21"/>
        <v>1</v>
      </c>
      <c r="S236">
        <f t="shared" si="22"/>
        <v>0</v>
      </c>
      <c r="T236">
        <f t="shared" si="23"/>
        <v>0</v>
      </c>
    </row>
    <row r="237" spans="1:20">
      <c r="A237" t="s">
        <v>80</v>
      </c>
      <c r="B237" s="2">
        <v>45748</v>
      </c>
      <c r="C237" t="s">
        <v>27</v>
      </c>
      <c r="D237" t="s">
        <v>16</v>
      </c>
      <c r="E237">
        <v>47944.14</v>
      </c>
      <c r="F237">
        <v>6169</v>
      </c>
      <c r="G237">
        <v>0.11899999999999999</v>
      </c>
      <c r="H237">
        <v>17</v>
      </c>
      <c r="I237">
        <v>92.2</v>
      </c>
      <c r="J237">
        <v>3.02</v>
      </c>
      <c r="K237">
        <v>0</v>
      </c>
      <c r="L237">
        <v>4.0999999999999996</v>
      </c>
      <c r="M237">
        <v>670629.48</v>
      </c>
      <c r="N237">
        <v>100140.8</v>
      </c>
      <c r="O237">
        <f t="shared" si="18"/>
        <v>0</v>
      </c>
      <c r="P237">
        <f t="shared" si="19"/>
        <v>0</v>
      </c>
      <c r="Q237">
        <f t="shared" si="20"/>
        <v>0</v>
      </c>
      <c r="R237">
        <f t="shared" si="21"/>
        <v>1</v>
      </c>
      <c r="S237">
        <f t="shared" si="22"/>
        <v>0</v>
      </c>
      <c r="T237">
        <f t="shared" si="23"/>
        <v>0</v>
      </c>
    </row>
    <row r="238" spans="1:20">
      <c r="A238" t="s">
        <v>81</v>
      </c>
      <c r="B238" s="2">
        <v>45658</v>
      </c>
      <c r="C238" t="s">
        <v>27</v>
      </c>
      <c r="D238" t="s">
        <v>28</v>
      </c>
      <c r="E238">
        <v>46495.4</v>
      </c>
      <c r="F238">
        <v>9908</v>
      </c>
      <c r="G238">
        <v>0.121</v>
      </c>
      <c r="H238">
        <v>22</v>
      </c>
      <c r="I238">
        <v>89.4</v>
      </c>
      <c r="J238">
        <v>3.22</v>
      </c>
      <c r="K238">
        <v>0</v>
      </c>
      <c r="L238">
        <v>3.7</v>
      </c>
      <c r="M238">
        <v>721079.35</v>
      </c>
      <c r="N238">
        <v>115295.05</v>
      </c>
      <c r="O238">
        <f t="shared" si="18"/>
        <v>0</v>
      </c>
      <c r="P238">
        <f t="shared" si="19"/>
        <v>0</v>
      </c>
      <c r="Q238">
        <f t="shared" si="20"/>
        <v>0</v>
      </c>
      <c r="R238">
        <f t="shared" si="21"/>
        <v>0</v>
      </c>
      <c r="S238">
        <f t="shared" si="22"/>
        <v>0</v>
      </c>
      <c r="T238">
        <f t="shared" si="23"/>
        <v>0</v>
      </c>
    </row>
    <row r="239" spans="1:20">
      <c r="A239" t="s">
        <v>81</v>
      </c>
      <c r="B239" s="2">
        <v>45689</v>
      </c>
      <c r="C239" t="s">
        <v>27</v>
      </c>
      <c r="D239" t="s">
        <v>28</v>
      </c>
      <c r="E239">
        <v>72961.95</v>
      </c>
      <c r="F239">
        <v>9996</v>
      </c>
      <c r="G239">
        <v>0.106</v>
      </c>
      <c r="H239">
        <v>22</v>
      </c>
      <c r="I239">
        <v>89.1</v>
      </c>
      <c r="J239">
        <v>15.66</v>
      </c>
      <c r="K239">
        <v>0</v>
      </c>
      <c r="L239">
        <v>3.4</v>
      </c>
      <c r="M239">
        <v>810355.02</v>
      </c>
      <c r="N239">
        <v>131510</v>
      </c>
      <c r="O239">
        <f t="shared" si="18"/>
        <v>0</v>
      </c>
      <c r="P239">
        <f t="shared" si="19"/>
        <v>0</v>
      </c>
      <c r="Q239">
        <f t="shared" si="20"/>
        <v>0</v>
      </c>
      <c r="R239">
        <f t="shared" si="21"/>
        <v>0</v>
      </c>
      <c r="S239">
        <f t="shared" si="22"/>
        <v>0</v>
      </c>
      <c r="T239">
        <f t="shared" si="23"/>
        <v>0</v>
      </c>
    </row>
    <row r="240" spans="1:20">
      <c r="A240" t="s">
        <v>81</v>
      </c>
      <c r="B240" s="2">
        <v>45717</v>
      </c>
      <c r="C240" t="s">
        <v>27</v>
      </c>
      <c r="D240" t="s">
        <v>28</v>
      </c>
      <c r="E240">
        <v>59060.05</v>
      </c>
      <c r="F240">
        <v>9702</v>
      </c>
      <c r="G240">
        <v>0.20100000000000001</v>
      </c>
      <c r="H240">
        <v>23</v>
      </c>
      <c r="I240">
        <v>80.900000000000006</v>
      </c>
      <c r="J240">
        <v>6.96</v>
      </c>
      <c r="K240">
        <v>0</v>
      </c>
      <c r="L240">
        <v>3.2</v>
      </c>
      <c r="M240">
        <v>761919.25</v>
      </c>
      <c r="N240">
        <v>111893.06</v>
      </c>
      <c r="O240">
        <f t="shared" si="18"/>
        <v>0</v>
      </c>
      <c r="P240">
        <f t="shared" si="19"/>
        <v>0</v>
      </c>
      <c r="Q240">
        <f t="shared" si="20"/>
        <v>0</v>
      </c>
      <c r="R240">
        <f t="shared" si="21"/>
        <v>0</v>
      </c>
      <c r="S240">
        <f t="shared" si="22"/>
        <v>0</v>
      </c>
      <c r="T240">
        <f t="shared" si="23"/>
        <v>0</v>
      </c>
    </row>
    <row r="241" spans="1:20">
      <c r="A241" t="s">
        <v>81</v>
      </c>
      <c r="B241" s="2">
        <v>45748</v>
      </c>
      <c r="C241" t="s">
        <v>27</v>
      </c>
      <c r="D241" t="s">
        <v>28</v>
      </c>
      <c r="E241">
        <v>26248.1</v>
      </c>
      <c r="F241">
        <v>9314</v>
      </c>
      <c r="G241">
        <v>0.186</v>
      </c>
      <c r="H241">
        <v>21</v>
      </c>
      <c r="I241">
        <v>83.7</v>
      </c>
      <c r="J241">
        <v>4.62</v>
      </c>
      <c r="K241">
        <v>0</v>
      </c>
      <c r="L241">
        <v>3.3</v>
      </c>
      <c r="M241">
        <v>737070.18</v>
      </c>
      <c r="N241">
        <v>117593.97</v>
      </c>
      <c r="O241">
        <f t="shared" si="18"/>
        <v>0</v>
      </c>
      <c r="P241">
        <f t="shared" si="19"/>
        <v>0</v>
      </c>
      <c r="Q241">
        <f t="shared" si="20"/>
        <v>0</v>
      </c>
      <c r="R241">
        <f t="shared" si="21"/>
        <v>0</v>
      </c>
      <c r="S241">
        <f t="shared" si="22"/>
        <v>0</v>
      </c>
      <c r="T241">
        <f t="shared" si="23"/>
        <v>0</v>
      </c>
    </row>
    <row r="242" spans="1:20">
      <c r="A242" t="s">
        <v>82</v>
      </c>
      <c r="B242" s="2">
        <v>45658</v>
      </c>
      <c r="C242" t="s">
        <v>24</v>
      </c>
      <c r="D242" t="s">
        <v>21</v>
      </c>
      <c r="E242">
        <v>69900.12</v>
      </c>
      <c r="F242">
        <v>8055</v>
      </c>
      <c r="G242">
        <v>0.28100000000000003</v>
      </c>
      <c r="H242">
        <v>22</v>
      </c>
      <c r="I242">
        <v>85.6</v>
      </c>
      <c r="J242">
        <v>10.68</v>
      </c>
      <c r="K242">
        <v>1</v>
      </c>
      <c r="L242">
        <v>2.9</v>
      </c>
      <c r="M242">
        <v>776992.93</v>
      </c>
      <c r="N242">
        <v>101598.32</v>
      </c>
      <c r="O242">
        <f t="shared" si="18"/>
        <v>0</v>
      </c>
      <c r="P242">
        <f t="shared" si="19"/>
        <v>0</v>
      </c>
      <c r="Q242">
        <f t="shared" si="20"/>
        <v>1</v>
      </c>
      <c r="R242">
        <f t="shared" si="21"/>
        <v>0</v>
      </c>
      <c r="S242">
        <f t="shared" si="22"/>
        <v>0</v>
      </c>
      <c r="T242">
        <f t="shared" si="23"/>
        <v>1</v>
      </c>
    </row>
    <row r="243" spans="1:20">
      <c r="A243" t="s">
        <v>82</v>
      </c>
      <c r="B243" s="2">
        <v>45689</v>
      </c>
      <c r="C243" t="s">
        <v>24</v>
      </c>
      <c r="D243" t="s">
        <v>21</v>
      </c>
      <c r="E243">
        <v>51781.599999999999</v>
      </c>
      <c r="F243">
        <v>5648</v>
      </c>
      <c r="G243">
        <v>5.8999999999999997E-2</v>
      </c>
      <c r="H243">
        <v>13</v>
      </c>
      <c r="I243">
        <v>85.5</v>
      </c>
      <c r="J243">
        <v>4.04</v>
      </c>
      <c r="K243">
        <v>0</v>
      </c>
      <c r="L243">
        <v>3.7</v>
      </c>
      <c r="M243">
        <v>676337.41</v>
      </c>
      <c r="N243">
        <v>104355.77</v>
      </c>
      <c r="O243">
        <f t="shared" si="18"/>
        <v>0</v>
      </c>
      <c r="P243">
        <f t="shared" si="19"/>
        <v>0</v>
      </c>
      <c r="Q243">
        <f t="shared" si="20"/>
        <v>1</v>
      </c>
      <c r="R243">
        <f t="shared" si="21"/>
        <v>0</v>
      </c>
      <c r="S243">
        <f t="shared" si="22"/>
        <v>0</v>
      </c>
      <c r="T243">
        <f t="shared" si="23"/>
        <v>1</v>
      </c>
    </row>
    <row r="244" spans="1:20">
      <c r="A244" t="s">
        <v>82</v>
      </c>
      <c r="B244" s="2">
        <v>45717</v>
      </c>
      <c r="C244" t="s">
        <v>24</v>
      </c>
      <c r="D244" t="s">
        <v>21</v>
      </c>
      <c r="E244">
        <v>70799.64</v>
      </c>
      <c r="F244">
        <v>10076</v>
      </c>
      <c r="G244">
        <v>0.152</v>
      </c>
      <c r="H244">
        <v>24</v>
      </c>
      <c r="I244">
        <v>84.8</v>
      </c>
      <c r="J244">
        <v>1.87</v>
      </c>
      <c r="K244">
        <v>0</v>
      </c>
      <c r="L244">
        <v>3.5</v>
      </c>
      <c r="M244">
        <v>828219.67</v>
      </c>
      <c r="N244">
        <v>179806.87</v>
      </c>
      <c r="O244">
        <f t="shared" si="18"/>
        <v>0</v>
      </c>
      <c r="P244">
        <f t="shared" si="19"/>
        <v>0</v>
      </c>
      <c r="Q244">
        <f t="shared" si="20"/>
        <v>1</v>
      </c>
      <c r="R244">
        <f t="shared" si="21"/>
        <v>0</v>
      </c>
      <c r="S244">
        <f t="shared" si="22"/>
        <v>0</v>
      </c>
      <c r="T244">
        <f t="shared" si="23"/>
        <v>1</v>
      </c>
    </row>
    <row r="245" spans="1:20">
      <c r="A245" t="s">
        <v>82</v>
      </c>
      <c r="B245" s="2">
        <v>45748</v>
      </c>
      <c r="C245" t="s">
        <v>24</v>
      </c>
      <c r="D245" t="s">
        <v>21</v>
      </c>
      <c r="E245">
        <v>53546.34</v>
      </c>
      <c r="F245">
        <v>8004</v>
      </c>
      <c r="G245">
        <v>0</v>
      </c>
      <c r="H245">
        <v>21</v>
      </c>
      <c r="I245">
        <v>95.2</v>
      </c>
      <c r="J245">
        <v>2.83</v>
      </c>
      <c r="K245">
        <v>0</v>
      </c>
      <c r="L245">
        <v>3</v>
      </c>
      <c r="M245">
        <v>763159.92</v>
      </c>
      <c r="N245">
        <v>177104.87</v>
      </c>
      <c r="O245">
        <f t="shared" si="18"/>
        <v>0</v>
      </c>
      <c r="P245">
        <f t="shared" si="19"/>
        <v>0</v>
      </c>
      <c r="Q245">
        <f t="shared" si="20"/>
        <v>1</v>
      </c>
      <c r="R245">
        <f t="shared" si="21"/>
        <v>0</v>
      </c>
      <c r="S245">
        <f t="shared" si="22"/>
        <v>0</v>
      </c>
      <c r="T245">
        <f t="shared" si="23"/>
        <v>1</v>
      </c>
    </row>
    <row r="246" spans="1:20">
      <c r="A246" t="s">
        <v>83</v>
      </c>
      <c r="B246" s="2">
        <v>45658</v>
      </c>
      <c r="C246" t="s">
        <v>15</v>
      </c>
      <c r="D246" t="s">
        <v>18</v>
      </c>
      <c r="E246">
        <v>76942.2</v>
      </c>
      <c r="F246">
        <v>8934</v>
      </c>
      <c r="G246">
        <v>8.4000000000000005E-2</v>
      </c>
      <c r="H246">
        <v>20</v>
      </c>
      <c r="I246">
        <v>91</v>
      </c>
      <c r="J246">
        <v>0.95</v>
      </c>
      <c r="K246">
        <v>0</v>
      </c>
      <c r="L246">
        <v>3.2</v>
      </c>
      <c r="M246">
        <v>802001.68</v>
      </c>
      <c r="N246">
        <v>159715.82</v>
      </c>
      <c r="O246">
        <f t="shared" si="18"/>
        <v>1</v>
      </c>
      <c r="P246">
        <f t="shared" si="19"/>
        <v>0</v>
      </c>
      <c r="Q246">
        <f t="shared" si="20"/>
        <v>0</v>
      </c>
      <c r="R246">
        <f t="shared" si="21"/>
        <v>0</v>
      </c>
      <c r="S246">
        <f t="shared" si="22"/>
        <v>1</v>
      </c>
      <c r="T246">
        <f t="shared" si="23"/>
        <v>0</v>
      </c>
    </row>
    <row r="247" spans="1:20">
      <c r="A247" t="s">
        <v>83</v>
      </c>
      <c r="B247" s="2">
        <v>45689</v>
      </c>
      <c r="C247" t="s">
        <v>15</v>
      </c>
      <c r="D247" t="s">
        <v>18</v>
      </c>
      <c r="E247">
        <v>48060.78</v>
      </c>
      <c r="F247">
        <v>8733</v>
      </c>
      <c r="G247">
        <v>0</v>
      </c>
      <c r="H247">
        <v>20</v>
      </c>
      <c r="I247">
        <v>89.9</v>
      </c>
      <c r="J247">
        <v>0.8</v>
      </c>
      <c r="K247">
        <v>0</v>
      </c>
      <c r="L247">
        <v>3.4</v>
      </c>
      <c r="M247">
        <v>750471.34</v>
      </c>
      <c r="N247">
        <v>133788.04</v>
      </c>
      <c r="O247">
        <f t="shared" si="18"/>
        <v>1</v>
      </c>
      <c r="P247">
        <f t="shared" si="19"/>
        <v>0</v>
      </c>
      <c r="Q247">
        <f t="shared" si="20"/>
        <v>0</v>
      </c>
      <c r="R247">
        <f t="shared" si="21"/>
        <v>0</v>
      </c>
      <c r="S247">
        <f t="shared" si="22"/>
        <v>1</v>
      </c>
      <c r="T247">
        <f t="shared" si="23"/>
        <v>0</v>
      </c>
    </row>
    <row r="248" spans="1:20">
      <c r="A248" t="s">
        <v>83</v>
      </c>
      <c r="B248" s="2">
        <v>45717</v>
      </c>
      <c r="C248" t="s">
        <v>15</v>
      </c>
      <c r="D248" t="s">
        <v>18</v>
      </c>
      <c r="E248">
        <v>57390.04</v>
      </c>
      <c r="F248">
        <v>7374</v>
      </c>
      <c r="G248">
        <v>0.21</v>
      </c>
      <c r="H248">
        <v>21</v>
      </c>
      <c r="I248">
        <v>91.8</v>
      </c>
      <c r="J248">
        <v>0.2</v>
      </c>
      <c r="K248">
        <v>0</v>
      </c>
      <c r="L248">
        <v>3.1</v>
      </c>
      <c r="M248">
        <v>679230.86</v>
      </c>
      <c r="N248">
        <v>106927.58</v>
      </c>
      <c r="O248">
        <f t="shared" si="18"/>
        <v>1</v>
      </c>
      <c r="P248">
        <f t="shared" si="19"/>
        <v>0</v>
      </c>
      <c r="Q248">
        <f t="shared" si="20"/>
        <v>0</v>
      </c>
      <c r="R248">
        <f t="shared" si="21"/>
        <v>0</v>
      </c>
      <c r="S248">
        <f t="shared" si="22"/>
        <v>1</v>
      </c>
      <c r="T248">
        <f t="shared" si="23"/>
        <v>0</v>
      </c>
    </row>
    <row r="249" spans="1:20">
      <c r="A249" t="s">
        <v>83</v>
      </c>
      <c r="B249" s="2">
        <v>45748</v>
      </c>
      <c r="C249" t="s">
        <v>15</v>
      </c>
      <c r="D249" t="s">
        <v>18</v>
      </c>
      <c r="E249">
        <v>21536.18</v>
      </c>
      <c r="F249">
        <v>8119</v>
      </c>
      <c r="G249">
        <v>0.22700000000000001</v>
      </c>
      <c r="H249">
        <v>20</v>
      </c>
      <c r="I249">
        <v>90.4</v>
      </c>
      <c r="J249">
        <v>1.7</v>
      </c>
      <c r="K249">
        <v>0</v>
      </c>
      <c r="L249">
        <v>3.3</v>
      </c>
      <c r="M249">
        <v>679888.74</v>
      </c>
      <c r="N249">
        <v>83406.89</v>
      </c>
      <c r="O249">
        <f t="shared" si="18"/>
        <v>1</v>
      </c>
      <c r="P249">
        <f t="shared" si="19"/>
        <v>0</v>
      </c>
      <c r="Q249">
        <f t="shared" si="20"/>
        <v>0</v>
      </c>
      <c r="R249">
        <f t="shared" si="21"/>
        <v>0</v>
      </c>
      <c r="S249">
        <f t="shared" si="22"/>
        <v>1</v>
      </c>
      <c r="T249">
        <f t="shared" si="23"/>
        <v>0</v>
      </c>
    </row>
    <row r="250" spans="1:20">
      <c r="A250" t="s">
        <v>84</v>
      </c>
      <c r="B250" s="2">
        <v>45658</v>
      </c>
      <c r="C250" t="s">
        <v>20</v>
      </c>
      <c r="D250" t="s">
        <v>18</v>
      </c>
      <c r="E250">
        <v>40923.67</v>
      </c>
      <c r="F250">
        <v>3875</v>
      </c>
      <c r="G250">
        <v>0.15</v>
      </c>
      <c r="H250">
        <v>10</v>
      </c>
      <c r="I250">
        <v>96.1</v>
      </c>
      <c r="J250">
        <f>O88</f>
        <v>0</v>
      </c>
      <c r="K250">
        <v>0</v>
      </c>
      <c r="L250">
        <v>3.8</v>
      </c>
      <c r="M250">
        <v>606783.67000000004</v>
      </c>
      <c r="N250">
        <v>74515.87</v>
      </c>
      <c r="O250">
        <f t="shared" si="18"/>
        <v>0</v>
      </c>
      <c r="P250">
        <f t="shared" si="19"/>
        <v>1</v>
      </c>
      <c r="Q250">
        <f t="shared" si="20"/>
        <v>0</v>
      </c>
      <c r="R250">
        <f t="shared" si="21"/>
        <v>0</v>
      </c>
      <c r="S250">
        <f t="shared" si="22"/>
        <v>1</v>
      </c>
      <c r="T250">
        <f t="shared" si="23"/>
        <v>0</v>
      </c>
    </row>
    <row r="251" spans="1:20">
      <c r="A251" t="s">
        <v>84</v>
      </c>
      <c r="B251" s="2">
        <v>45689</v>
      </c>
      <c r="C251" t="s">
        <v>20</v>
      </c>
      <c r="D251" t="s">
        <v>18</v>
      </c>
      <c r="E251">
        <v>72932.55</v>
      </c>
      <c r="F251">
        <v>5765</v>
      </c>
      <c r="G251">
        <v>2.5999999999999999E-2</v>
      </c>
      <c r="H251">
        <v>17</v>
      </c>
      <c r="I251">
        <v>81.8</v>
      </c>
      <c r="J251">
        <v>5.0999999999999996</v>
      </c>
      <c r="K251">
        <v>0</v>
      </c>
      <c r="L251">
        <v>3.6</v>
      </c>
      <c r="M251">
        <v>642751.42000000004</v>
      </c>
      <c r="N251">
        <v>131942.15</v>
      </c>
      <c r="O251">
        <f t="shared" si="18"/>
        <v>0</v>
      </c>
      <c r="P251">
        <f t="shared" si="19"/>
        <v>1</v>
      </c>
      <c r="Q251">
        <f t="shared" si="20"/>
        <v>0</v>
      </c>
      <c r="R251">
        <f t="shared" si="21"/>
        <v>0</v>
      </c>
      <c r="S251">
        <f t="shared" si="22"/>
        <v>1</v>
      </c>
      <c r="T251">
        <f t="shared" si="23"/>
        <v>0</v>
      </c>
    </row>
    <row r="252" spans="1:20">
      <c r="A252" t="s">
        <v>84</v>
      </c>
      <c r="B252" s="2">
        <v>45717</v>
      </c>
      <c r="C252" t="s">
        <v>20</v>
      </c>
      <c r="D252" t="s">
        <v>18</v>
      </c>
      <c r="E252">
        <v>38361.93</v>
      </c>
      <c r="F252">
        <v>6322</v>
      </c>
      <c r="G252">
        <v>0.27300000000000002</v>
      </c>
      <c r="H252">
        <v>15</v>
      </c>
      <c r="I252">
        <v>88.4</v>
      </c>
      <c r="J252">
        <v>0.83</v>
      </c>
      <c r="K252">
        <v>0</v>
      </c>
      <c r="L252">
        <v>4</v>
      </c>
      <c r="M252">
        <v>647953.78</v>
      </c>
      <c r="N252">
        <v>118497.43</v>
      </c>
      <c r="O252">
        <f t="shared" si="18"/>
        <v>0</v>
      </c>
      <c r="P252">
        <f t="shared" si="19"/>
        <v>1</v>
      </c>
      <c r="Q252">
        <f t="shared" si="20"/>
        <v>0</v>
      </c>
      <c r="R252">
        <f t="shared" si="21"/>
        <v>0</v>
      </c>
      <c r="S252">
        <f t="shared" si="22"/>
        <v>1</v>
      </c>
      <c r="T252">
        <f t="shared" si="23"/>
        <v>0</v>
      </c>
    </row>
    <row r="253" spans="1:20">
      <c r="A253" t="s">
        <v>84</v>
      </c>
      <c r="B253" s="2">
        <v>45748</v>
      </c>
      <c r="C253" t="s">
        <v>20</v>
      </c>
      <c r="D253" t="s">
        <v>18</v>
      </c>
      <c r="E253">
        <v>97480.94</v>
      </c>
      <c r="F253">
        <v>6840</v>
      </c>
      <c r="G253">
        <v>8.6999999999999994E-2</v>
      </c>
      <c r="H253">
        <v>14</v>
      </c>
      <c r="I253">
        <v>79.2</v>
      </c>
      <c r="J253">
        <v>1.1399999999999999</v>
      </c>
      <c r="K253">
        <v>0</v>
      </c>
      <c r="L253">
        <v>4</v>
      </c>
      <c r="M253">
        <v>729440.45</v>
      </c>
      <c r="N253">
        <v>87614.29</v>
      </c>
      <c r="O253">
        <f t="shared" si="18"/>
        <v>0</v>
      </c>
      <c r="P253">
        <f t="shared" si="19"/>
        <v>1</v>
      </c>
      <c r="Q253">
        <f t="shared" si="20"/>
        <v>0</v>
      </c>
      <c r="R253">
        <f t="shared" si="21"/>
        <v>0</v>
      </c>
      <c r="S253">
        <f t="shared" si="22"/>
        <v>1</v>
      </c>
      <c r="T253">
        <f t="shared" si="23"/>
        <v>0</v>
      </c>
    </row>
    <row r="254" spans="1:20">
      <c r="A254" t="s">
        <v>85</v>
      </c>
      <c r="B254" s="2">
        <v>45658</v>
      </c>
      <c r="C254" t="s">
        <v>24</v>
      </c>
      <c r="D254" t="s">
        <v>21</v>
      </c>
      <c r="E254">
        <v>81801.8</v>
      </c>
      <c r="F254">
        <v>6782</v>
      </c>
      <c r="G254">
        <v>0.05</v>
      </c>
      <c r="H254">
        <v>16</v>
      </c>
      <c r="I254">
        <v>99</v>
      </c>
      <c r="J254">
        <v>9.5399999999999991</v>
      </c>
      <c r="K254">
        <v>0</v>
      </c>
      <c r="L254">
        <v>3.7</v>
      </c>
      <c r="M254">
        <v>764949</v>
      </c>
      <c r="N254">
        <v>148322.43</v>
      </c>
      <c r="O254">
        <f t="shared" si="18"/>
        <v>0</v>
      </c>
      <c r="P254">
        <f t="shared" si="19"/>
        <v>0</v>
      </c>
      <c r="Q254">
        <f t="shared" si="20"/>
        <v>1</v>
      </c>
      <c r="R254">
        <f t="shared" si="21"/>
        <v>0</v>
      </c>
      <c r="S254">
        <f t="shared" si="22"/>
        <v>0</v>
      </c>
      <c r="T254">
        <f t="shared" si="23"/>
        <v>1</v>
      </c>
    </row>
    <row r="255" spans="1:20">
      <c r="A255" t="s">
        <v>85</v>
      </c>
      <c r="B255" s="2">
        <v>45689</v>
      </c>
      <c r="C255" t="s">
        <v>24</v>
      </c>
      <c r="D255" t="s">
        <v>21</v>
      </c>
      <c r="E255">
        <v>63582.11</v>
      </c>
      <c r="F255">
        <v>6856</v>
      </c>
      <c r="G255">
        <v>7.3999999999999996E-2</v>
      </c>
      <c r="H255">
        <v>17</v>
      </c>
      <c r="I255">
        <v>89.5</v>
      </c>
      <c r="J255">
        <v>5.48</v>
      </c>
      <c r="K255">
        <v>0</v>
      </c>
      <c r="L255">
        <v>3.2</v>
      </c>
      <c r="M255">
        <v>799046.94</v>
      </c>
      <c r="N255">
        <v>144553.64000000001</v>
      </c>
      <c r="O255">
        <f t="shared" si="18"/>
        <v>0</v>
      </c>
      <c r="P255">
        <f t="shared" si="19"/>
        <v>0</v>
      </c>
      <c r="Q255">
        <f t="shared" si="20"/>
        <v>1</v>
      </c>
      <c r="R255">
        <f t="shared" si="21"/>
        <v>0</v>
      </c>
      <c r="S255">
        <f t="shared" si="22"/>
        <v>0</v>
      </c>
      <c r="T255">
        <f t="shared" si="23"/>
        <v>1</v>
      </c>
    </row>
    <row r="256" spans="1:20">
      <c r="A256" t="s">
        <v>85</v>
      </c>
      <c r="B256" s="2">
        <v>45717</v>
      </c>
      <c r="C256" t="s">
        <v>24</v>
      </c>
      <c r="D256" t="s">
        <v>21</v>
      </c>
      <c r="E256">
        <v>75412.740000000005</v>
      </c>
      <c r="F256">
        <v>5641</v>
      </c>
      <c r="G256">
        <v>5.8999999999999997E-2</v>
      </c>
      <c r="H256">
        <v>13</v>
      </c>
      <c r="I256">
        <v>87.9</v>
      </c>
      <c r="J256">
        <v>0.84</v>
      </c>
      <c r="K256">
        <v>0</v>
      </c>
      <c r="L256">
        <v>3.6</v>
      </c>
      <c r="M256">
        <v>720079.54</v>
      </c>
      <c r="N256">
        <v>119499.47</v>
      </c>
      <c r="O256">
        <f t="shared" si="18"/>
        <v>0</v>
      </c>
      <c r="P256">
        <f t="shared" si="19"/>
        <v>0</v>
      </c>
      <c r="Q256">
        <f t="shared" si="20"/>
        <v>1</v>
      </c>
      <c r="R256">
        <f t="shared" si="21"/>
        <v>0</v>
      </c>
      <c r="S256">
        <f t="shared" si="22"/>
        <v>0</v>
      </c>
      <c r="T256">
        <f t="shared" si="23"/>
        <v>1</v>
      </c>
    </row>
    <row r="257" spans="1:20">
      <c r="A257" t="s">
        <v>85</v>
      </c>
      <c r="B257" s="2">
        <v>45748</v>
      </c>
      <c r="C257" t="s">
        <v>24</v>
      </c>
      <c r="D257" t="s">
        <v>21</v>
      </c>
      <c r="E257">
        <v>36290.080000000002</v>
      </c>
      <c r="F257">
        <v>5787</v>
      </c>
      <c r="G257">
        <v>0</v>
      </c>
      <c r="H257">
        <v>17</v>
      </c>
      <c r="I257">
        <v>88.3</v>
      </c>
      <c r="J257">
        <v>4.1900000000000004</v>
      </c>
      <c r="K257">
        <v>0</v>
      </c>
      <c r="L257">
        <v>4.0999999999999996</v>
      </c>
      <c r="M257">
        <v>612390.14</v>
      </c>
      <c r="N257">
        <v>108985.74</v>
      </c>
      <c r="O257">
        <f t="shared" si="18"/>
        <v>0</v>
      </c>
      <c r="P257">
        <f t="shared" si="19"/>
        <v>0</v>
      </c>
      <c r="Q257">
        <f t="shared" si="20"/>
        <v>1</v>
      </c>
      <c r="R257">
        <f t="shared" si="21"/>
        <v>0</v>
      </c>
      <c r="S257">
        <f t="shared" si="22"/>
        <v>0</v>
      </c>
      <c r="T257">
        <f t="shared" si="23"/>
        <v>1</v>
      </c>
    </row>
    <row r="258" spans="1:20">
      <c r="A258" t="s">
        <v>86</v>
      </c>
      <c r="B258" s="2">
        <v>45658</v>
      </c>
      <c r="C258" t="s">
        <v>24</v>
      </c>
      <c r="D258" t="s">
        <v>28</v>
      </c>
      <c r="E258">
        <v>65272.58</v>
      </c>
      <c r="F258">
        <v>8165</v>
      </c>
      <c r="G258">
        <v>5.0999999999999997E-2</v>
      </c>
      <c r="H258">
        <v>19</v>
      </c>
      <c r="I258">
        <v>87.8</v>
      </c>
      <c r="J258">
        <v>1.26</v>
      </c>
      <c r="K258">
        <v>1</v>
      </c>
      <c r="L258">
        <v>4.3</v>
      </c>
      <c r="M258">
        <v>840108.12</v>
      </c>
      <c r="N258">
        <v>126587.01</v>
      </c>
      <c r="O258">
        <f t="shared" si="18"/>
        <v>0</v>
      </c>
      <c r="P258">
        <f t="shared" si="19"/>
        <v>0</v>
      </c>
      <c r="Q258">
        <f t="shared" si="20"/>
        <v>1</v>
      </c>
      <c r="R258">
        <f t="shared" si="21"/>
        <v>0</v>
      </c>
      <c r="S258">
        <f t="shared" si="22"/>
        <v>0</v>
      </c>
      <c r="T258">
        <f t="shared" si="23"/>
        <v>0</v>
      </c>
    </row>
    <row r="259" spans="1:20">
      <c r="A259" t="s">
        <v>86</v>
      </c>
      <c r="B259" s="2">
        <v>45689</v>
      </c>
      <c r="C259" t="s">
        <v>24</v>
      </c>
      <c r="D259" t="s">
        <v>28</v>
      </c>
      <c r="E259">
        <v>28670.43</v>
      </c>
      <c r="F259">
        <v>7574</v>
      </c>
      <c r="G259">
        <v>0.114</v>
      </c>
      <c r="H259">
        <v>19</v>
      </c>
      <c r="I259">
        <v>82.7</v>
      </c>
      <c r="J259">
        <v>2.74</v>
      </c>
      <c r="K259">
        <v>0</v>
      </c>
      <c r="L259">
        <v>4.5999999999999996</v>
      </c>
      <c r="M259">
        <v>697888.09</v>
      </c>
      <c r="N259">
        <v>116249.87</v>
      </c>
      <c r="O259">
        <f t="shared" ref="O259:O321" si="24">IF(C259="East",1,0)</f>
        <v>0</v>
      </c>
      <c r="P259">
        <f t="shared" ref="P259:P321" si="25">IF(C259="North",1,0)</f>
        <v>0</v>
      </c>
      <c r="Q259">
        <f t="shared" ref="Q259:Q321" si="26">IF(C259="South",1,0)</f>
        <v>1</v>
      </c>
      <c r="R259">
        <f t="shared" ref="R259:R321" si="27">IF(D259="Residential",1,0)</f>
        <v>0</v>
      </c>
      <c r="S259">
        <f t="shared" ref="S259:S321" si="28">IF(D259="High Street",1,0)</f>
        <v>0</v>
      </c>
      <c r="T259">
        <f t="shared" ref="T259:T321" si="29">IF(D259="Airport",1,0)</f>
        <v>0</v>
      </c>
    </row>
    <row r="260" spans="1:20">
      <c r="A260" t="s">
        <v>86</v>
      </c>
      <c r="B260" s="2">
        <v>45717</v>
      </c>
      <c r="C260" t="s">
        <v>24</v>
      </c>
      <c r="D260" t="s">
        <v>28</v>
      </c>
      <c r="E260">
        <v>44189.34</v>
      </c>
      <c r="F260">
        <v>8634</v>
      </c>
      <c r="G260">
        <v>0.14299999999999999</v>
      </c>
      <c r="H260">
        <v>19</v>
      </c>
      <c r="I260">
        <v>87.5</v>
      </c>
      <c r="J260">
        <v>3.69</v>
      </c>
      <c r="K260">
        <v>0</v>
      </c>
      <c r="L260">
        <v>4.4000000000000004</v>
      </c>
      <c r="M260">
        <v>746115.59</v>
      </c>
      <c r="N260">
        <v>94662.96</v>
      </c>
      <c r="O260">
        <f t="shared" si="24"/>
        <v>0</v>
      </c>
      <c r="P260">
        <f t="shared" si="25"/>
        <v>0</v>
      </c>
      <c r="Q260">
        <f t="shared" si="26"/>
        <v>1</v>
      </c>
      <c r="R260">
        <f t="shared" si="27"/>
        <v>0</v>
      </c>
      <c r="S260">
        <f t="shared" si="28"/>
        <v>0</v>
      </c>
      <c r="T260">
        <f t="shared" si="29"/>
        <v>0</v>
      </c>
    </row>
    <row r="261" spans="1:20">
      <c r="A261" t="s">
        <v>86</v>
      </c>
      <c r="B261" s="2">
        <v>45748</v>
      </c>
      <c r="C261" t="s">
        <v>24</v>
      </c>
      <c r="D261" t="s">
        <v>28</v>
      </c>
      <c r="E261">
        <v>38397.82</v>
      </c>
      <c r="F261">
        <v>7836</v>
      </c>
      <c r="G261">
        <v>7.0000000000000001E-3</v>
      </c>
      <c r="H261">
        <v>21</v>
      </c>
      <c r="I261">
        <v>92.2</v>
      </c>
      <c r="J261">
        <v>1.82</v>
      </c>
      <c r="K261">
        <v>0</v>
      </c>
      <c r="L261">
        <v>3.6</v>
      </c>
      <c r="M261">
        <v>776110.32</v>
      </c>
      <c r="N261">
        <v>139676.21</v>
      </c>
      <c r="O261">
        <f t="shared" si="24"/>
        <v>0</v>
      </c>
      <c r="P261">
        <f t="shared" si="25"/>
        <v>0</v>
      </c>
      <c r="Q261">
        <f t="shared" si="26"/>
        <v>1</v>
      </c>
      <c r="R261">
        <f t="shared" si="27"/>
        <v>0</v>
      </c>
      <c r="S261">
        <f t="shared" si="28"/>
        <v>0</v>
      </c>
      <c r="T261">
        <f t="shared" si="29"/>
        <v>0</v>
      </c>
    </row>
    <row r="262" spans="1:20">
      <c r="A262" t="s">
        <v>87</v>
      </c>
      <c r="B262" s="2">
        <v>45658</v>
      </c>
      <c r="C262" t="s">
        <v>27</v>
      </c>
      <c r="D262" t="s">
        <v>18</v>
      </c>
      <c r="E262">
        <v>14519.37</v>
      </c>
      <c r="F262">
        <v>3047</v>
      </c>
      <c r="G262">
        <v>0.13500000000000001</v>
      </c>
      <c r="H262">
        <v>10</v>
      </c>
      <c r="I262">
        <v>90.3</v>
      </c>
      <c r="J262">
        <v>6.62</v>
      </c>
      <c r="K262">
        <v>0</v>
      </c>
      <c r="L262">
        <v>4.2</v>
      </c>
      <c r="M262">
        <v>528852.62</v>
      </c>
      <c r="N262">
        <v>68426.210000000006</v>
      </c>
      <c r="O262">
        <f t="shared" si="24"/>
        <v>0</v>
      </c>
      <c r="P262">
        <f t="shared" si="25"/>
        <v>0</v>
      </c>
      <c r="Q262">
        <f t="shared" si="26"/>
        <v>0</v>
      </c>
      <c r="R262">
        <f t="shared" si="27"/>
        <v>0</v>
      </c>
      <c r="S262">
        <f t="shared" si="28"/>
        <v>1</v>
      </c>
      <c r="T262">
        <f t="shared" si="29"/>
        <v>0</v>
      </c>
    </row>
    <row r="263" spans="1:20">
      <c r="A263" t="s">
        <v>87</v>
      </c>
      <c r="B263" s="2">
        <v>45689</v>
      </c>
      <c r="C263" t="s">
        <v>27</v>
      </c>
      <c r="D263" t="s">
        <v>18</v>
      </c>
      <c r="E263">
        <v>43288.2</v>
      </c>
      <c r="F263">
        <v>4783</v>
      </c>
      <c r="G263">
        <v>0.16900000000000001</v>
      </c>
      <c r="H263">
        <v>13</v>
      </c>
      <c r="I263">
        <v>87.3</v>
      </c>
      <c r="J263">
        <f>O101</f>
        <v>0</v>
      </c>
      <c r="K263">
        <v>0</v>
      </c>
      <c r="L263">
        <v>4.2</v>
      </c>
      <c r="M263">
        <v>605751.32999999996</v>
      </c>
      <c r="N263">
        <v>60685.53</v>
      </c>
      <c r="O263">
        <f t="shared" si="24"/>
        <v>0</v>
      </c>
      <c r="P263">
        <f t="shared" si="25"/>
        <v>0</v>
      </c>
      <c r="Q263">
        <f t="shared" si="26"/>
        <v>0</v>
      </c>
      <c r="R263">
        <f t="shared" si="27"/>
        <v>0</v>
      </c>
      <c r="S263">
        <f t="shared" si="28"/>
        <v>1</v>
      </c>
      <c r="T263">
        <f t="shared" si="29"/>
        <v>0</v>
      </c>
    </row>
    <row r="264" spans="1:20">
      <c r="A264" t="s">
        <v>87</v>
      </c>
      <c r="B264" s="2">
        <v>45717</v>
      </c>
      <c r="C264" t="s">
        <v>27</v>
      </c>
      <c r="D264" t="s">
        <v>18</v>
      </c>
      <c r="E264">
        <v>51450.55</v>
      </c>
      <c r="F264">
        <v>4902</v>
      </c>
      <c r="G264">
        <v>8.5999999999999993E-2</v>
      </c>
      <c r="H264">
        <v>11</v>
      </c>
      <c r="I264">
        <v>83.7</v>
      </c>
      <c r="J264">
        <v>6.92</v>
      </c>
      <c r="K264">
        <v>1</v>
      </c>
      <c r="L264">
        <v>4.2</v>
      </c>
      <c r="M264">
        <v>677640.65</v>
      </c>
      <c r="N264">
        <v>111610.89</v>
      </c>
      <c r="O264">
        <f t="shared" si="24"/>
        <v>0</v>
      </c>
      <c r="P264">
        <f t="shared" si="25"/>
        <v>0</v>
      </c>
      <c r="Q264">
        <f t="shared" si="26"/>
        <v>0</v>
      </c>
      <c r="R264">
        <f t="shared" si="27"/>
        <v>0</v>
      </c>
      <c r="S264">
        <f t="shared" si="28"/>
        <v>1</v>
      </c>
      <c r="T264">
        <f t="shared" si="29"/>
        <v>0</v>
      </c>
    </row>
    <row r="265" spans="1:20">
      <c r="A265" t="s">
        <v>87</v>
      </c>
      <c r="B265" s="2">
        <v>45748</v>
      </c>
      <c r="C265" t="s">
        <v>27</v>
      </c>
      <c r="D265" t="s">
        <v>18</v>
      </c>
      <c r="E265">
        <v>58688.26</v>
      </c>
      <c r="F265">
        <v>4022</v>
      </c>
      <c r="G265">
        <v>0.217</v>
      </c>
      <c r="H265">
        <v>12</v>
      </c>
      <c r="I265">
        <v>93.8</v>
      </c>
      <c r="J265">
        <v>11.78</v>
      </c>
      <c r="K265">
        <v>0</v>
      </c>
      <c r="L265">
        <v>3.7</v>
      </c>
      <c r="M265">
        <v>636613.23</v>
      </c>
      <c r="N265">
        <v>78908.350000000006</v>
      </c>
      <c r="O265">
        <f t="shared" si="24"/>
        <v>0</v>
      </c>
      <c r="P265">
        <f t="shared" si="25"/>
        <v>0</v>
      </c>
      <c r="Q265">
        <f t="shared" si="26"/>
        <v>0</v>
      </c>
      <c r="R265">
        <f t="shared" si="27"/>
        <v>0</v>
      </c>
      <c r="S265">
        <f t="shared" si="28"/>
        <v>1</v>
      </c>
      <c r="T265">
        <f t="shared" si="29"/>
        <v>0</v>
      </c>
    </row>
    <row r="266" spans="1:20">
      <c r="A266" t="s">
        <v>88</v>
      </c>
      <c r="B266" s="2">
        <v>45658</v>
      </c>
      <c r="C266" t="s">
        <v>15</v>
      </c>
      <c r="D266" t="s">
        <v>18</v>
      </c>
      <c r="E266">
        <v>58981.91</v>
      </c>
      <c r="F266">
        <v>7324</v>
      </c>
      <c r="G266">
        <v>9.4E-2</v>
      </c>
      <c r="H266">
        <v>15</v>
      </c>
      <c r="I266">
        <v>95.8</v>
      </c>
      <c r="J266">
        <v>0.5</v>
      </c>
      <c r="K266">
        <v>0</v>
      </c>
      <c r="L266">
        <v>3.5</v>
      </c>
      <c r="M266">
        <v>708985.19</v>
      </c>
      <c r="N266">
        <v>125368.16</v>
      </c>
      <c r="O266">
        <f t="shared" si="24"/>
        <v>1</v>
      </c>
      <c r="P266">
        <f t="shared" si="25"/>
        <v>0</v>
      </c>
      <c r="Q266">
        <f t="shared" si="26"/>
        <v>0</v>
      </c>
      <c r="R266">
        <f t="shared" si="27"/>
        <v>0</v>
      </c>
      <c r="S266">
        <f t="shared" si="28"/>
        <v>1</v>
      </c>
      <c r="T266">
        <f t="shared" si="29"/>
        <v>0</v>
      </c>
    </row>
    <row r="267" spans="1:20">
      <c r="A267" t="s">
        <v>88</v>
      </c>
      <c r="B267" s="2">
        <v>45689</v>
      </c>
      <c r="C267" t="s">
        <v>15</v>
      </c>
      <c r="D267" t="s">
        <v>18</v>
      </c>
      <c r="E267">
        <v>73454.539999999994</v>
      </c>
      <c r="F267">
        <v>8129</v>
      </c>
      <c r="G267">
        <v>0.21099999999999999</v>
      </c>
      <c r="H267">
        <v>20</v>
      </c>
      <c r="I267">
        <v>85.2</v>
      </c>
      <c r="J267">
        <v>0.88</v>
      </c>
      <c r="K267">
        <v>0</v>
      </c>
      <c r="L267">
        <v>3.7</v>
      </c>
      <c r="M267">
        <v>767792.94</v>
      </c>
      <c r="N267">
        <v>96235.77</v>
      </c>
      <c r="O267">
        <f t="shared" si="24"/>
        <v>1</v>
      </c>
      <c r="P267">
        <f t="shared" si="25"/>
        <v>0</v>
      </c>
      <c r="Q267">
        <f t="shared" si="26"/>
        <v>0</v>
      </c>
      <c r="R267">
        <f t="shared" si="27"/>
        <v>0</v>
      </c>
      <c r="S267">
        <f t="shared" si="28"/>
        <v>1</v>
      </c>
      <c r="T267">
        <f t="shared" si="29"/>
        <v>0</v>
      </c>
    </row>
    <row r="268" spans="1:20">
      <c r="A268" t="s">
        <v>88</v>
      </c>
      <c r="B268" s="2">
        <v>45717</v>
      </c>
      <c r="C268" t="s">
        <v>15</v>
      </c>
      <c r="D268" t="s">
        <v>18</v>
      </c>
      <c r="E268">
        <v>56602.39</v>
      </c>
      <c r="F268">
        <v>7969</v>
      </c>
      <c r="G268">
        <v>0.17</v>
      </c>
      <c r="H268">
        <v>21</v>
      </c>
      <c r="I268">
        <v>88.3</v>
      </c>
      <c r="J268">
        <v>2.25</v>
      </c>
      <c r="K268">
        <v>0</v>
      </c>
      <c r="L268">
        <v>3.7</v>
      </c>
      <c r="M268">
        <v>745580.51</v>
      </c>
      <c r="N268">
        <v>116273.68</v>
      </c>
      <c r="O268">
        <f t="shared" si="24"/>
        <v>1</v>
      </c>
      <c r="P268">
        <f t="shared" si="25"/>
        <v>0</v>
      </c>
      <c r="Q268">
        <f t="shared" si="26"/>
        <v>0</v>
      </c>
      <c r="R268">
        <f t="shared" si="27"/>
        <v>0</v>
      </c>
      <c r="S268">
        <f t="shared" si="28"/>
        <v>1</v>
      </c>
      <c r="T268">
        <f t="shared" si="29"/>
        <v>0</v>
      </c>
    </row>
    <row r="269" spans="1:20">
      <c r="A269" t="s">
        <v>88</v>
      </c>
      <c r="B269" s="2">
        <v>45748</v>
      </c>
      <c r="C269" t="s">
        <v>15</v>
      </c>
      <c r="D269" t="s">
        <v>18</v>
      </c>
      <c r="E269">
        <v>67722.289999999994</v>
      </c>
      <c r="F269">
        <v>7240</v>
      </c>
      <c r="G269">
        <v>2.5999999999999999E-2</v>
      </c>
      <c r="H269">
        <v>15</v>
      </c>
      <c r="I269">
        <v>92.9</v>
      </c>
      <c r="J269">
        <v>0.28999999999999998</v>
      </c>
      <c r="K269">
        <v>0</v>
      </c>
      <c r="L269">
        <v>3.5</v>
      </c>
      <c r="M269">
        <v>762328.31</v>
      </c>
      <c r="N269">
        <v>159158.19</v>
      </c>
      <c r="O269">
        <f t="shared" si="24"/>
        <v>1</v>
      </c>
      <c r="P269">
        <f t="shared" si="25"/>
        <v>0</v>
      </c>
      <c r="Q269">
        <f t="shared" si="26"/>
        <v>0</v>
      </c>
      <c r="R269">
        <f t="shared" si="27"/>
        <v>0</v>
      </c>
      <c r="S269">
        <f t="shared" si="28"/>
        <v>1</v>
      </c>
      <c r="T269">
        <f t="shared" si="29"/>
        <v>0</v>
      </c>
    </row>
    <row r="270" spans="1:20">
      <c r="A270" t="s">
        <v>89</v>
      </c>
      <c r="B270" s="2">
        <v>45658</v>
      </c>
      <c r="C270" t="s">
        <v>15</v>
      </c>
      <c r="D270" t="s">
        <v>28</v>
      </c>
      <c r="E270">
        <v>48752.92</v>
      </c>
      <c r="F270">
        <v>8052</v>
      </c>
      <c r="G270">
        <v>0.106</v>
      </c>
      <c r="H270">
        <v>16</v>
      </c>
      <c r="I270">
        <v>94.9</v>
      </c>
      <c r="J270">
        <v>0.65</v>
      </c>
      <c r="K270">
        <v>0</v>
      </c>
      <c r="L270">
        <v>3.6</v>
      </c>
      <c r="M270">
        <v>660633.99</v>
      </c>
      <c r="N270">
        <v>118768.66</v>
      </c>
      <c r="O270">
        <f t="shared" si="24"/>
        <v>1</v>
      </c>
      <c r="P270">
        <f t="shared" si="25"/>
        <v>0</v>
      </c>
      <c r="Q270">
        <f t="shared" si="26"/>
        <v>0</v>
      </c>
      <c r="R270">
        <f t="shared" si="27"/>
        <v>0</v>
      </c>
      <c r="S270">
        <f t="shared" si="28"/>
        <v>0</v>
      </c>
      <c r="T270">
        <f t="shared" si="29"/>
        <v>0</v>
      </c>
    </row>
    <row r="271" spans="1:20">
      <c r="A271" t="s">
        <v>89</v>
      </c>
      <c r="B271" s="2">
        <v>45689</v>
      </c>
      <c r="C271" t="s">
        <v>15</v>
      </c>
      <c r="D271" t="s">
        <v>28</v>
      </c>
      <c r="E271">
        <v>23914.97</v>
      </c>
      <c r="F271">
        <v>8018</v>
      </c>
      <c r="G271">
        <v>0.13900000000000001</v>
      </c>
      <c r="H271">
        <v>20</v>
      </c>
      <c r="I271">
        <v>89</v>
      </c>
      <c r="J271">
        <v>0.2</v>
      </c>
      <c r="K271">
        <v>0</v>
      </c>
      <c r="L271">
        <v>3.5</v>
      </c>
      <c r="M271">
        <v>739374.56</v>
      </c>
      <c r="N271">
        <v>121032.29</v>
      </c>
      <c r="O271">
        <f t="shared" si="24"/>
        <v>1</v>
      </c>
      <c r="P271">
        <f t="shared" si="25"/>
        <v>0</v>
      </c>
      <c r="Q271">
        <f t="shared" si="26"/>
        <v>0</v>
      </c>
      <c r="R271">
        <f t="shared" si="27"/>
        <v>0</v>
      </c>
      <c r="S271">
        <f t="shared" si="28"/>
        <v>0</v>
      </c>
      <c r="T271">
        <f t="shared" si="29"/>
        <v>0</v>
      </c>
    </row>
    <row r="272" spans="1:20">
      <c r="A272" t="s">
        <v>89</v>
      </c>
      <c r="B272" s="2">
        <v>45717</v>
      </c>
      <c r="C272" t="s">
        <v>15</v>
      </c>
      <c r="D272" t="s">
        <v>28</v>
      </c>
      <c r="E272">
        <v>61995.3</v>
      </c>
      <c r="F272">
        <v>10192</v>
      </c>
      <c r="G272">
        <v>0.19800000000000001</v>
      </c>
      <c r="H272">
        <v>21</v>
      </c>
      <c r="I272">
        <v>87.6</v>
      </c>
      <c r="J272">
        <v>3.63</v>
      </c>
      <c r="K272">
        <v>1</v>
      </c>
      <c r="L272">
        <v>3.8</v>
      </c>
      <c r="M272">
        <v>799756.46</v>
      </c>
      <c r="N272">
        <v>105052.93</v>
      </c>
      <c r="O272">
        <f t="shared" si="24"/>
        <v>1</v>
      </c>
      <c r="P272">
        <f t="shared" si="25"/>
        <v>0</v>
      </c>
      <c r="Q272">
        <f t="shared" si="26"/>
        <v>0</v>
      </c>
      <c r="R272">
        <f t="shared" si="27"/>
        <v>0</v>
      </c>
      <c r="S272">
        <f t="shared" si="28"/>
        <v>0</v>
      </c>
      <c r="T272">
        <f t="shared" si="29"/>
        <v>0</v>
      </c>
    </row>
    <row r="273" spans="1:20">
      <c r="A273" t="s">
        <v>89</v>
      </c>
      <c r="B273" s="2">
        <v>45748</v>
      </c>
      <c r="C273" t="s">
        <v>15</v>
      </c>
      <c r="D273" t="s">
        <v>28</v>
      </c>
      <c r="E273">
        <v>29344.93</v>
      </c>
      <c r="F273">
        <v>7446</v>
      </c>
      <c r="G273">
        <v>0.111</v>
      </c>
      <c r="H273">
        <v>15</v>
      </c>
      <c r="I273">
        <v>86.2</v>
      </c>
      <c r="J273">
        <v>0.2</v>
      </c>
      <c r="K273">
        <v>0</v>
      </c>
      <c r="L273">
        <v>3.2</v>
      </c>
      <c r="M273">
        <v>593343</v>
      </c>
      <c r="N273">
        <v>82832.240000000005</v>
      </c>
      <c r="O273">
        <f t="shared" si="24"/>
        <v>1</v>
      </c>
      <c r="P273">
        <f t="shared" si="25"/>
        <v>0</v>
      </c>
      <c r="Q273">
        <f t="shared" si="26"/>
        <v>0</v>
      </c>
      <c r="R273">
        <f t="shared" si="27"/>
        <v>0</v>
      </c>
      <c r="S273">
        <f t="shared" si="28"/>
        <v>0</v>
      </c>
      <c r="T273">
        <f t="shared" si="29"/>
        <v>0</v>
      </c>
    </row>
    <row r="274" spans="1:20">
      <c r="A274" t="s">
        <v>90</v>
      </c>
      <c r="B274" s="2">
        <v>45658</v>
      </c>
      <c r="C274" t="s">
        <v>27</v>
      </c>
      <c r="D274" t="s">
        <v>18</v>
      </c>
      <c r="E274">
        <v>50532.17</v>
      </c>
      <c r="F274">
        <v>5689</v>
      </c>
      <c r="G274">
        <v>5.1999999999999998E-2</v>
      </c>
      <c r="H274">
        <v>17</v>
      </c>
      <c r="I274">
        <v>85.6</v>
      </c>
      <c r="J274">
        <v>6.23</v>
      </c>
      <c r="K274">
        <v>0</v>
      </c>
      <c r="L274">
        <v>3.3</v>
      </c>
      <c r="M274">
        <v>645039.97</v>
      </c>
      <c r="N274">
        <v>83093.33</v>
      </c>
      <c r="O274">
        <f t="shared" si="24"/>
        <v>0</v>
      </c>
      <c r="P274">
        <f t="shared" si="25"/>
        <v>0</v>
      </c>
      <c r="Q274">
        <f t="shared" si="26"/>
        <v>0</v>
      </c>
      <c r="R274">
        <f t="shared" si="27"/>
        <v>0</v>
      </c>
      <c r="S274">
        <f t="shared" si="28"/>
        <v>1</v>
      </c>
      <c r="T274">
        <f t="shared" si="29"/>
        <v>0</v>
      </c>
    </row>
    <row r="275" spans="1:20">
      <c r="A275" t="s">
        <v>90</v>
      </c>
      <c r="B275" s="2">
        <v>45689</v>
      </c>
      <c r="C275" t="s">
        <v>27</v>
      </c>
      <c r="D275" t="s">
        <v>18</v>
      </c>
      <c r="E275">
        <v>17562.57</v>
      </c>
      <c r="F275">
        <v>3326</v>
      </c>
      <c r="G275">
        <v>0.153</v>
      </c>
      <c r="H275">
        <v>14</v>
      </c>
      <c r="I275">
        <v>88.1</v>
      </c>
      <c r="J275">
        <v>1.04</v>
      </c>
      <c r="K275">
        <v>0</v>
      </c>
      <c r="L275">
        <v>3.1</v>
      </c>
      <c r="M275">
        <v>561597.32999999996</v>
      </c>
      <c r="N275">
        <v>75072.75</v>
      </c>
      <c r="O275">
        <f t="shared" si="24"/>
        <v>0</v>
      </c>
      <c r="P275">
        <f t="shared" si="25"/>
        <v>0</v>
      </c>
      <c r="Q275">
        <f t="shared" si="26"/>
        <v>0</v>
      </c>
      <c r="R275">
        <f t="shared" si="27"/>
        <v>0</v>
      </c>
      <c r="S275">
        <f t="shared" si="28"/>
        <v>1</v>
      </c>
      <c r="T275">
        <f t="shared" si="29"/>
        <v>0</v>
      </c>
    </row>
    <row r="276" spans="1:20">
      <c r="A276" t="s">
        <v>90</v>
      </c>
      <c r="B276" s="2">
        <v>45717</v>
      </c>
      <c r="C276" t="s">
        <v>27</v>
      </c>
      <c r="D276" t="s">
        <v>18</v>
      </c>
      <c r="E276">
        <v>47648.71</v>
      </c>
      <c r="F276">
        <v>5767</v>
      </c>
      <c r="G276">
        <v>0.14099999999999999</v>
      </c>
      <c r="H276">
        <v>17</v>
      </c>
      <c r="I276">
        <v>89.8</v>
      </c>
      <c r="J276">
        <v>1.76</v>
      </c>
      <c r="K276">
        <v>0</v>
      </c>
      <c r="L276">
        <v>3.1</v>
      </c>
      <c r="M276">
        <v>635837.74</v>
      </c>
      <c r="N276">
        <v>114740.64</v>
      </c>
      <c r="O276">
        <f t="shared" si="24"/>
        <v>0</v>
      </c>
      <c r="P276">
        <f t="shared" si="25"/>
        <v>0</v>
      </c>
      <c r="Q276">
        <f t="shared" si="26"/>
        <v>0</v>
      </c>
      <c r="R276">
        <f t="shared" si="27"/>
        <v>0</v>
      </c>
      <c r="S276">
        <f t="shared" si="28"/>
        <v>1</v>
      </c>
      <c r="T276">
        <f t="shared" si="29"/>
        <v>0</v>
      </c>
    </row>
    <row r="277" spans="1:20">
      <c r="A277" t="s">
        <v>90</v>
      </c>
      <c r="B277" s="2">
        <v>45748</v>
      </c>
      <c r="C277" t="s">
        <v>27</v>
      </c>
      <c r="D277" t="s">
        <v>18</v>
      </c>
      <c r="E277">
        <v>38297.58</v>
      </c>
      <c r="F277">
        <v>5893</v>
      </c>
      <c r="G277">
        <v>0.247</v>
      </c>
      <c r="H277">
        <v>18</v>
      </c>
      <c r="I277">
        <v>77.599999999999994</v>
      </c>
      <c r="J277">
        <v>2.86</v>
      </c>
      <c r="K277">
        <v>0</v>
      </c>
      <c r="L277">
        <v>3</v>
      </c>
      <c r="M277">
        <v>686737.87</v>
      </c>
      <c r="N277">
        <v>83839.67</v>
      </c>
      <c r="O277">
        <f t="shared" si="24"/>
        <v>0</v>
      </c>
      <c r="P277">
        <f t="shared" si="25"/>
        <v>0</v>
      </c>
      <c r="Q277">
        <f t="shared" si="26"/>
        <v>0</v>
      </c>
      <c r="R277">
        <f t="shared" si="27"/>
        <v>0</v>
      </c>
      <c r="S277">
        <f t="shared" si="28"/>
        <v>1</v>
      </c>
      <c r="T277">
        <f t="shared" si="29"/>
        <v>0</v>
      </c>
    </row>
    <row r="278" spans="1:20">
      <c r="A278" t="s">
        <v>91</v>
      </c>
      <c r="B278" s="2">
        <v>45658</v>
      </c>
      <c r="C278" t="s">
        <v>24</v>
      </c>
      <c r="D278" t="s">
        <v>16</v>
      </c>
      <c r="E278">
        <v>61784.11</v>
      </c>
      <c r="F278">
        <v>8564</v>
      </c>
      <c r="G278">
        <v>0.13</v>
      </c>
      <c r="H278">
        <v>17</v>
      </c>
      <c r="I278">
        <v>87.4</v>
      </c>
      <c r="J278">
        <v>18.14</v>
      </c>
      <c r="K278">
        <v>1</v>
      </c>
      <c r="L278">
        <v>3.4</v>
      </c>
      <c r="M278">
        <v>673076.34</v>
      </c>
      <c r="N278">
        <v>93899.76</v>
      </c>
      <c r="O278">
        <f t="shared" si="24"/>
        <v>0</v>
      </c>
      <c r="P278">
        <f t="shared" si="25"/>
        <v>0</v>
      </c>
      <c r="Q278">
        <f t="shared" si="26"/>
        <v>1</v>
      </c>
      <c r="R278">
        <f t="shared" si="27"/>
        <v>1</v>
      </c>
      <c r="S278">
        <f t="shared" si="28"/>
        <v>0</v>
      </c>
      <c r="T278">
        <f t="shared" si="29"/>
        <v>0</v>
      </c>
    </row>
    <row r="279" spans="1:20">
      <c r="A279" t="s">
        <v>91</v>
      </c>
      <c r="B279" s="2">
        <v>45689</v>
      </c>
      <c r="C279" t="s">
        <v>24</v>
      </c>
      <c r="D279" t="s">
        <v>16</v>
      </c>
      <c r="E279">
        <v>36832.33</v>
      </c>
      <c r="F279">
        <v>8001</v>
      </c>
      <c r="G279">
        <v>0</v>
      </c>
      <c r="H279">
        <v>19</v>
      </c>
      <c r="I279">
        <v>88.7</v>
      </c>
      <c r="J279">
        <v>3.39</v>
      </c>
      <c r="K279">
        <v>0</v>
      </c>
      <c r="L279">
        <v>4</v>
      </c>
      <c r="M279">
        <v>738548.42</v>
      </c>
      <c r="N279">
        <v>134282.76999999999</v>
      </c>
      <c r="O279">
        <f t="shared" si="24"/>
        <v>0</v>
      </c>
      <c r="P279">
        <f t="shared" si="25"/>
        <v>0</v>
      </c>
      <c r="Q279">
        <f t="shared" si="26"/>
        <v>1</v>
      </c>
      <c r="R279">
        <f t="shared" si="27"/>
        <v>1</v>
      </c>
      <c r="S279">
        <f t="shared" si="28"/>
        <v>0</v>
      </c>
      <c r="T279">
        <f t="shared" si="29"/>
        <v>0</v>
      </c>
    </row>
    <row r="280" spans="1:20">
      <c r="A280" t="s">
        <v>91</v>
      </c>
      <c r="B280" s="2">
        <v>45717</v>
      </c>
      <c r="C280" t="s">
        <v>24</v>
      </c>
      <c r="D280" t="s">
        <v>16</v>
      </c>
      <c r="E280">
        <v>48609.41</v>
      </c>
      <c r="F280">
        <v>9324</v>
      </c>
      <c r="G280">
        <v>0.21299999999999999</v>
      </c>
      <c r="H280">
        <v>18</v>
      </c>
      <c r="I280">
        <v>86.5</v>
      </c>
      <c r="J280">
        <v>1.44</v>
      </c>
      <c r="K280">
        <v>0</v>
      </c>
      <c r="L280">
        <v>3.9</v>
      </c>
      <c r="M280">
        <v>756619.77</v>
      </c>
      <c r="N280">
        <v>112057.69</v>
      </c>
      <c r="O280">
        <f t="shared" si="24"/>
        <v>0</v>
      </c>
      <c r="P280">
        <f t="shared" si="25"/>
        <v>0</v>
      </c>
      <c r="Q280">
        <f t="shared" si="26"/>
        <v>1</v>
      </c>
      <c r="R280">
        <f t="shared" si="27"/>
        <v>1</v>
      </c>
      <c r="S280">
        <f t="shared" si="28"/>
        <v>0</v>
      </c>
      <c r="T280">
        <f t="shared" si="29"/>
        <v>0</v>
      </c>
    </row>
    <row r="281" spans="1:20">
      <c r="A281" t="s">
        <v>91</v>
      </c>
      <c r="B281" s="2">
        <v>45748</v>
      </c>
      <c r="C281" t="s">
        <v>24</v>
      </c>
      <c r="D281" t="s">
        <v>16</v>
      </c>
      <c r="E281">
        <v>70284.06</v>
      </c>
      <c r="F281">
        <v>9109</v>
      </c>
      <c r="G281">
        <v>4.0000000000000001E-3</v>
      </c>
      <c r="H281">
        <v>23</v>
      </c>
      <c r="I281">
        <v>87</v>
      </c>
      <c r="J281">
        <v>3.65</v>
      </c>
      <c r="K281">
        <v>0</v>
      </c>
      <c r="L281">
        <v>3.7</v>
      </c>
      <c r="M281">
        <v>761122.42</v>
      </c>
      <c r="N281">
        <v>149802.04</v>
      </c>
      <c r="O281">
        <f t="shared" si="24"/>
        <v>0</v>
      </c>
      <c r="P281">
        <f t="shared" si="25"/>
        <v>0</v>
      </c>
      <c r="Q281">
        <f t="shared" si="26"/>
        <v>1</v>
      </c>
      <c r="R281">
        <f t="shared" si="27"/>
        <v>1</v>
      </c>
      <c r="S281">
        <f t="shared" si="28"/>
        <v>0</v>
      </c>
      <c r="T281">
        <f t="shared" si="29"/>
        <v>0</v>
      </c>
    </row>
    <row r="282" spans="1:20">
      <c r="A282" t="s">
        <v>92</v>
      </c>
      <c r="B282" s="2">
        <v>45658</v>
      </c>
      <c r="C282" t="s">
        <v>24</v>
      </c>
      <c r="D282" t="s">
        <v>18</v>
      </c>
      <c r="E282">
        <v>45940.39</v>
      </c>
      <c r="F282">
        <v>4022</v>
      </c>
      <c r="G282">
        <v>6.9000000000000006E-2</v>
      </c>
      <c r="H282">
        <v>10</v>
      </c>
      <c r="I282">
        <v>83</v>
      </c>
      <c r="J282">
        <v>1.23</v>
      </c>
      <c r="K282">
        <v>1</v>
      </c>
      <c r="L282">
        <v>3.8</v>
      </c>
      <c r="M282">
        <v>524899.56999999995</v>
      </c>
      <c r="N282">
        <v>63619.98</v>
      </c>
      <c r="O282">
        <f t="shared" si="24"/>
        <v>0</v>
      </c>
      <c r="P282">
        <f t="shared" si="25"/>
        <v>0</v>
      </c>
      <c r="Q282">
        <f t="shared" si="26"/>
        <v>1</v>
      </c>
      <c r="R282">
        <f t="shared" si="27"/>
        <v>0</v>
      </c>
      <c r="S282">
        <f t="shared" si="28"/>
        <v>1</v>
      </c>
      <c r="T282">
        <f t="shared" si="29"/>
        <v>0</v>
      </c>
    </row>
    <row r="283" spans="1:20">
      <c r="A283" t="s">
        <v>92</v>
      </c>
      <c r="B283" s="2">
        <v>45689</v>
      </c>
      <c r="C283" t="s">
        <v>24</v>
      </c>
      <c r="D283" t="s">
        <v>18</v>
      </c>
      <c r="E283">
        <v>34771.26</v>
      </c>
      <c r="F283">
        <v>4355</v>
      </c>
      <c r="G283">
        <v>5.0999999999999997E-2</v>
      </c>
      <c r="H283">
        <v>15</v>
      </c>
      <c r="I283">
        <v>87.9</v>
      </c>
      <c r="J283">
        <v>3.09</v>
      </c>
      <c r="K283">
        <v>0</v>
      </c>
      <c r="L283">
        <v>4</v>
      </c>
      <c r="M283">
        <v>555557.77</v>
      </c>
      <c r="N283">
        <v>86475.51</v>
      </c>
      <c r="O283">
        <f t="shared" si="24"/>
        <v>0</v>
      </c>
      <c r="P283">
        <f t="shared" si="25"/>
        <v>0</v>
      </c>
      <c r="Q283">
        <f t="shared" si="26"/>
        <v>1</v>
      </c>
      <c r="R283">
        <f t="shared" si="27"/>
        <v>0</v>
      </c>
      <c r="S283">
        <f t="shared" si="28"/>
        <v>1</v>
      </c>
      <c r="T283">
        <f t="shared" si="29"/>
        <v>0</v>
      </c>
    </row>
    <row r="284" spans="1:20">
      <c r="A284" t="s">
        <v>92</v>
      </c>
      <c r="B284" s="2">
        <v>45717</v>
      </c>
      <c r="C284" t="s">
        <v>24</v>
      </c>
      <c r="D284" t="s">
        <v>18</v>
      </c>
      <c r="E284">
        <v>66104.19</v>
      </c>
      <c r="F284">
        <v>5745</v>
      </c>
      <c r="G284">
        <v>7.0000000000000007E-2</v>
      </c>
      <c r="H284">
        <v>17</v>
      </c>
      <c r="I284">
        <v>95.8</v>
      </c>
      <c r="J284">
        <v>3.15</v>
      </c>
      <c r="K284">
        <v>0</v>
      </c>
      <c r="L284">
        <v>4</v>
      </c>
      <c r="M284">
        <v>714083.68</v>
      </c>
      <c r="N284">
        <v>127231.74</v>
      </c>
      <c r="O284">
        <f t="shared" si="24"/>
        <v>0</v>
      </c>
      <c r="P284">
        <f t="shared" si="25"/>
        <v>0</v>
      </c>
      <c r="Q284">
        <f t="shared" si="26"/>
        <v>1</v>
      </c>
      <c r="R284">
        <f t="shared" si="27"/>
        <v>0</v>
      </c>
      <c r="S284">
        <f t="shared" si="28"/>
        <v>1</v>
      </c>
      <c r="T284">
        <f t="shared" si="29"/>
        <v>0</v>
      </c>
    </row>
    <row r="285" spans="1:20">
      <c r="A285" t="s">
        <v>92</v>
      </c>
      <c r="B285" s="2">
        <v>45748</v>
      </c>
      <c r="C285" t="s">
        <v>24</v>
      </c>
      <c r="D285" t="s">
        <v>18</v>
      </c>
      <c r="E285">
        <v>18599.21</v>
      </c>
      <c r="F285">
        <v>3027</v>
      </c>
      <c r="G285">
        <v>0.122</v>
      </c>
      <c r="H285">
        <v>11</v>
      </c>
      <c r="I285">
        <v>80.900000000000006</v>
      </c>
      <c r="J285">
        <v>6.44</v>
      </c>
      <c r="K285">
        <v>0</v>
      </c>
      <c r="L285">
        <v>4.2</v>
      </c>
      <c r="M285">
        <v>497439.82</v>
      </c>
      <c r="N285">
        <v>93372.75</v>
      </c>
      <c r="O285">
        <f t="shared" si="24"/>
        <v>0</v>
      </c>
      <c r="P285">
        <f t="shared" si="25"/>
        <v>0</v>
      </c>
      <c r="Q285">
        <f t="shared" si="26"/>
        <v>1</v>
      </c>
      <c r="R285">
        <f t="shared" si="27"/>
        <v>0</v>
      </c>
      <c r="S285">
        <f t="shared" si="28"/>
        <v>1</v>
      </c>
      <c r="T285">
        <f t="shared" si="29"/>
        <v>0</v>
      </c>
    </row>
    <row r="286" spans="1:20">
      <c r="A286" t="s">
        <v>93</v>
      </c>
      <c r="B286" s="2">
        <v>45658</v>
      </c>
      <c r="C286" t="s">
        <v>27</v>
      </c>
      <c r="D286" t="s">
        <v>16</v>
      </c>
      <c r="E286">
        <v>60183.06</v>
      </c>
      <c r="F286">
        <v>5562</v>
      </c>
      <c r="G286">
        <v>8.9999999999999993E-3</v>
      </c>
      <c r="H286">
        <v>13</v>
      </c>
      <c r="I286">
        <v>86.3</v>
      </c>
      <c r="J286">
        <v>0.2</v>
      </c>
      <c r="K286">
        <v>1</v>
      </c>
      <c r="L286">
        <v>4.5</v>
      </c>
      <c r="M286">
        <v>636775.66</v>
      </c>
      <c r="N286">
        <v>122636.86</v>
      </c>
      <c r="O286">
        <f t="shared" si="24"/>
        <v>0</v>
      </c>
      <c r="P286">
        <f t="shared" si="25"/>
        <v>0</v>
      </c>
      <c r="Q286">
        <f t="shared" si="26"/>
        <v>0</v>
      </c>
      <c r="R286">
        <f t="shared" si="27"/>
        <v>1</v>
      </c>
      <c r="S286">
        <f t="shared" si="28"/>
        <v>0</v>
      </c>
      <c r="T286">
        <f t="shared" si="29"/>
        <v>0</v>
      </c>
    </row>
    <row r="287" spans="1:20">
      <c r="A287" t="s">
        <v>93</v>
      </c>
      <c r="B287" s="2">
        <v>45689</v>
      </c>
      <c r="C287" t="s">
        <v>27</v>
      </c>
      <c r="D287" t="s">
        <v>16</v>
      </c>
      <c r="E287">
        <v>74539.14</v>
      </c>
      <c r="F287">
        <v>4487</v>
      </c>
      <c r="G287">
        <v>0.14000000000000001</v>
      </c>
      <c r="H287">
        <v>10</v>
      </c>
      <c r="I287">
        <v>90.4</v>
      </c>
      <c r="J287">
        <v>0.59</v>
      </c>
      <c r="K287">
        <v>0</v>
      </c>
      <c r="L287">
        <v>4.5</v>
      </c>
      <c r="M287">
        <v>633009.53</v>
      </c>
      <c r="N287">
        <v>123782.67</v>
      </c>
      <c r="O287">
        <f t="shared" si="24"/>
        <v>0</v>
      </c>
      <c r="P287">
        <f t="shared" si="25"/>
        <v>0</v>
      </c>
      <c r="Q287">
        <f t="shared" si="26"/>
        <v>0</v>
      </c>
      <c r="R287">
        <f t="shared" si="27"/>
        <v>1</v>
      </c>
      <c r="S287">
        <f t="shared" si="28"/>
        <v>0</v>
      </c>
      <c r="T287">
        <f t="shared" si="29"/>
        <v>0</v>
      </c>
    </row>
    <row r="288" spans="1:20">
      <c r="A288" t="s">
        <v>93</v>
      </c>
      <c r="B288" s="2">
        <v>45717</v>
      </c>
      <c r="C288" t="s">
        <v>27</v>
      </c>
      <c r="D288" t="s">
        <v>16</v>
      </c>
      <c r="E288">
        <v>55371.97</v>
      </c>
      <c r="F288">
        <v>4162</v>
      </c>
      <c r="G288">
        <v>0.183</v>
      </c>
      <c r="H288">
        <v>11</v>
      </c>
      <c r="I288">
        <v>92</v>
      </c>
      <c r="J288">
        <v>0.2</v>
      </c>
      <c r="K288">
        <v>1</v>
      </c>
      <c r="L288">
        <v>4.2</v>
      </c>
      <c r="M288">
        <v>609949</v>
      </c>
      <c r="N288">
        <v>126789.25</v>
      </c>
      <c r="O288">
        <f t="shared" si="24"/>
        <v>0</v>
      </c>
      <c r="P288">
        <f t="shared" si="25"/>
        <v>0</v>
      </c>
      <c r="Q288">
        <f t="shared" si="26"/>
        <v>0</v>
      </c>
      <c r="R288">
        <f t="shared" si="27"/>
        <v>1</v>
      </c>
      <c r="S288">
        <f t="shared" si="28"/>
        <v>0</v>
      </c>
      <c r="T288">
        <f t="shared" si="29"/>
        <v>0</v>
      </c>
    </row>
    <row r="289" spans="1:20">
      <c r="A289" t="s">
        <v>93</v>
      </c>
      <c r="B289" s="2">
        <v>45748</v>
      </c>
      <c r="C289" t="s">
        <v>27</v>
      </c>
      <c r="D289" t="s">
        <v>16</v>
      </c>
      <c r="E289">
        <v>40928.69</v>
      </c>
      <c r="F289">
        <v>4094</v>
      </c>
      <c r="G289">
        <v>0.17399999999999999</v>
      </c>
      <c r="H289">
        <v>13</v>
      </c>
      <c r="I289">
        <v>82.4</v>
      </c>
      <c r="J289">
        <v>1.36</v>
      </c>
      <c r="K289">
        <v>0</v>
      </c>
      <c r="L289">
        <v>4.8</v>
      </c>
      <c r="M289">
        <v>548103.69999999995</v>
      </c>
      <c r="N289">
        <v>99905.52</v>
      </c>
      <c r="O289">
        <f t="shared" si="24"/>
        <v>0</v>
      </c>
      <c r="P289">
        <f t="shared" si="25"/>
        <v>0</v>
      </c>
      <c r="Q289">
        <f t="shared" si="26"/>
        <v>0</v>
      </c>
      <c r="R289">
        <f t="shared" si="27"/>
        <v>1</v>
      </c>
      <c r="S289">
        <f t="shared" si="28"/>
        <v>0</v>
      </c>
      <c r="T289">
        <f t="shared" si="29"/>
        <v>0</v>
      </c>
    </row>
    <row r="290" spans="1:20">
      <c r="A290" t="s">
        <v>94</v>
      </c>
      <c r="B290" s="2">
        <v>45658</v>
      </c>
      <c r="C290" t="s">
        <v>15</v>
      </c>
      <c r="D290" t="s">
        <v>16</v>
      </c>
      <c r="E290">
        <v>70012.41</v>
      </c>
      <c r="F290">
        <v>8484</v>
      </c>
      <c r="G290">
        <v>0.27300000000000002</v>
      </c>
      <c r="H290">
        <v>23</v>
      </c>
      <c r="I290">
        <v>72.900000000000006</v>
      </c>
      <c r="J290">
        <v>3.34</v>
      </c>
      <c r="K290">
        <v>0</v>
      </c>
      <c r="L290">
        <v>3.7</v>
      </c>
      <c r="M290">
        <v>729424.42</v>
      </c>
      <c r="N290">
        <v>75592.28</v>
      </c>
      <c r="O290">
        <f t="shared" si="24"/>
        <v>1</v>
      </c>
      <c r="P290">
        <f t="shared" si="25"/>
        <v>0</v>
      </c>
      <c r="Q290">
        <f t="shared" si="26"/>
        <v>0</v>
      </c>
      <c r="R290">
        <f t="shared" si="27"/>
        <v>1</v>
      </c>
      <c r="S290">
        <f t="shared" si="28"/>
        <v>0</v>
      </c>
      <c r="T290">
        <f t="shared" si="29"/>
        <v>0</v>
      </c>
    </row>
    <row r="291" spans="1:20">
      <c r="A291" t="s">
        <v>94</v>
      </c>
      <c r="B291" s="2">
        <v>45689</v>
      </c>
      <c r="C291" t="s">
        <v>15</v>
      </c>
      <c r="D291" t="s">
        <v>16</v>
      </c>
      <c r="E291">
        <v>68909.259999999995</v>
      </c>
      <c r="F291">
        <v>7794</v>
      </c>
      <c r="G291">
        <v>0.28399999999999997</v>
      </c>
      <c r="H291">
        <v>22</v>
      </c>
      <c r="I291">
        <v>89</v>
      </c>
      <c r="J291">
        <v>0.33</v>
      </c>
      <c r="K291">
        <v>0</v>
      </c>
      <c r="L291">
        <v>4</v>
      </c>
      <c r="M291">
        <v>696261.49</v>
      </c>
      <c r="N291">
        <v>72455.350000000006</v>
      </c>
      <c r="O291">
        <f t="shared" si="24"/>
        <v>1</v>
      </c>
      <c r="P291">
        <f t="shared" si="25"/>
        <v>0</v>
      </c>
      <c r="Q291">
        <f t="shared" si="26"/>
        <v>0</v>
      </c>
      <c r="R291">
        <f t="shared" si="27"/>
        <v>1</v>
      </c>
      <c r="S291">
        <f t="shared" si="28"/>
        <v>0</v>
      </c>
      <c r="T291">
        <f t="shared" si="29"/>
        <v>0</v>
      </c>
    </row>
    <row r="292" spans="1:20">
      <c r="A292" t="s">
        <v>94</v>
      </c>
      <c r="B292" s="2">
        <v>45717</v>
      </c>
      <c r="C292" t="s">
        <v>15</v>
      </c>
      <c r="D292" t="s">
        <v>16</v>
      </c>
      <c r="E292">
        <v>56737.3</v>
      </c>
      <c r="F292">
        <v>8300</v>
      </c>
      <c r="G292">
        <v>3.2000000000000001E-2</v>
      </c>
      <c r="H292">
        <v>21</v>
      </c>
      <c r="I292">
        <v>83.2</v>
      </c>
      <c r="J292">
        <v>3.44</v>
      </c>
      <c r="K292">
        <v>1</v>
      </c>
      <c r="L292">
        <v>4.3</v>
      </c>
      <c r="M292">
        <v>813316.71</v>
      </c>
      <c r="N292">
        <v>110077.42</v>
      </c>
      <c r="O292">
        <f t="shared" si="24"/>
        <v>1</v>
      </c>
      <c r="P292">
        <f t="shared" si="25"/>
        <v>0</v>
      </c>
      <c r="Q292">
        <f t="shared" si="26"/>
        <v>0</v>
      </c>
      <c r="R292">
        <f t="shared" si="27"/>
        <v>1</v>
      </c>
      <c r="S292">
        <f t="shared" si="28"/>
        <v>0</v>
      </c>
      <c r="T292">
        <f t="shared" si="29"/>
        <v>0</v>
      </c>
    </row>
    <row r="293" spans="1:20">
      <c r="A293" t="s">
        <v>94</v>
      </c>
      <c r="B293" s="2">
        <v>45748</v>
      </c>
      <c r="C293" t="s">
        <v>15</v>
      </c>
      <c r="D293" t="s">
        <v>16</v>
      </c>
      <c r="E293">
        <v>54080.91</v>
      </c>
      <c r="F293">
        <v>7083</v>
      </c>
      <c r="G293">
        <v>0</v>
      </c>
      <c r="H293">
        <v>15</v>
      </c>
      <c r="I293">
        <v>97</v>
      </c>
      <c r="J293">
        <v>5.33</v>
      </c>
      <c r="K293">
        <v>0</v>
      </c>
      <c r="L293">
        <v>4.0999999999999996</v>
      </c>
      <c r="M293">
        <v>702068.92</v>
      </c>
      <c r="N293">
        <v>111266.63</v>
      </c>
      <c r="O293">
        <f t="shared" si="24"/>
        <v>1</v>
      </c>
      <c r="P293">
        <f t="shared" si="25"/>
        <v>0</v>
      </c>
      <c r="Q293">
        <f t="shared" si="26"/>
        <v>0</v>
      </c>
      <c r="R293">
        <f t="shared" si="27"/>
        <v>1</v>
      </c>
      <c r="S293">
        <f t="shared" si="28"/>
        <v>0</v>
      </c>
      <c r="T293">
        <f t="shared" si="29"/>
        <v>0</v>
      </c>
    </row>
    <row r="294" spans="1:20">
      <c r="A294" t="s">
        <v>95</v>
      </c>
      <c r="B294" s="2">
        <v>45658</v>
      </c>
      <c r="C294" t="s">
        <v>27</v>
      </c>
      <c r="D294" t="s">
        <v>18</v>
      </c>
      <c r="E294">
        <v>51996.32</v>
      </c>
      <c r="F294">
        <v>3834</v>
      </c>
      <c r="G294">
        <v>9.6000000000000002E-2</v>
      </c>
      <c r="H294">
        <v>8</v>
      </c>
      <c r="I294">
        <v>86.7</v>
      </c>
      <c r="J294">
        <v>6.04</v>
      </c>
      <c r="K294">
        <v>0</v>
      </c>
      <c r="L294">
        <v>4.5</v>
      </c>
      <c r="M294">
        <v>546223.69999999995</v>
      </c>
      <c r="N294">
        <v>100769.17</v>
      </c>
      <c r="O294">
        <f t="shared" si="24"/>
        <v>0</v>
      </c>
      <c r="P294">
        <f t="shared" si="25"/>
        <v>0</v>
      </c>
      <c r="Q294">
        <f t="shared" si="26"/>
        <v>0</v>
      </c>
      <c r="R294">
        <f t="shared" si="27"/>
        <v>0</v>
      </c>
      <c r="S294">
        <f t="shared" si="28"/>
        <v>1</v>
      </c>
      <c r="T294">
        <f t="shared" si="29"/>
        <v>0</v>
      </c>
    </row>
    <row r="295" spans="1:20">
      <c r="A295" t="s">
        <v>95</v>
      </c>
      <c r="B295" s="2">
        <v>45689</v>
      </c>
      <c r="C295" t="s">
        <v>27</v>
      </c>
      <c r="D295" t="s">
        <v>18</v>
      </c>
      <c r="E295">
        <v>40102.879999999997</v>
      </c>
      <c r="F295">
        <v>2358</v>
      </c>
      <c r="G295">
        <v>0.11899999999999999</v>
      </c>
      <c r="H295">
        <v>9</v>
      </c>
      <c r="I295">
        <v>88.7</v>
      </c>
      <c r="J295">
        <v>1.6</v>
      </c>
      <c r="K295">
        <v>0</v>
      </c>
      <c r="L295">
        <v>4.2</v>
      </c>
      <c r="M295">
        <v>533121.26</v>
      </c>
      <c r="N295">
        <v>55063.39</v>
      </c>
      <c r="O295">
        <f t="shared" si="24"/>
        <v>0</v>
      </c>
      <c r="P295">
        <f t="shared" si="25"/>
        <v>0</v>
      </c>
      <c r="Q295">
        <f t="shared" si="26"/>
        <v>0</v>
      </c>
      <c r="R295">
        <f t="shared" si="27"/>
        <v>0</v>
      </c>
      <c r="S295">
        <f t="shared" si="28"/>
        <v>1</v>
      </c>
      <c r="T295">
        <f t="shared" si="29"/>
        <v>0</v>
      </c>
    </row>
    <row r="296" spans="1:20">
      <c r="A296" t="s">
        <v>95</v>
      </c>
      <c r="B296" s="2">
        <v>45717</v>
      </c>
      <c r="C296" t="s">
        <v>27</v>
      </c>
      <c r="D296" t="s">
        <v>18</v>
      </c>
      <c r="E296">
        <v>59825.51</v>
      </c>
      <c r="F296">
        <v>1231</v>
      </c>
      <c r="G296">
        <v>0.214</v>
      </c>
      <c r="H296">
        <v>10</v>
      </c>
      <c r="I296">
        <v>84.8</v>
      </c>
      <c r="J296">
        <v>8.9600000000000009</v>
      </c>
      <c r="K296">
        <v>0</v>
      </c>
      <c r="L296">
        <v>4.7</v>
      </c>
      <c r="M296">
        <v>498970.32</v>
      </c>
      <c r="N296">
        <v>69656.7</v>
      </c>
      <c r="O296">
        <f t="shared" si="24"/>
        <v>0</v>
      </c>
      <c r="P296">
        <f t="shared" si="25"/>
        <v>0</v>
      </c>
      <c r="Q296">
        <f t="shared" si="26"/>
        <v>0</v>
      </c>
      <c r="R296">
        <f t="shared" si="27"/>
        <v>0</v>
      </c>
      <c r="S296">
        <f t="shared" si="28"/>
        <v>1</v>
      </c>
      <c r="T296">
        <f t="shared" si="29"/>
        <v>0</v>
      </c>
    </row>
    <row r="297" spans="1:20">
      <c r="A297" t="s">
        <v>95</v>
      </c>
      <c r="B297" s="2">
        <v>45748</v>
      </c>
      <c r="C297" t="s">
        <v>27</v>
      </c>
      <c r="D297" t="s">
        <v>18</v>
      </c>
      <c r="E297">
        <v>27398.28</v>
      </c>
      <c r="F297">
        <v>1723</v>
      </c>
      <c r="G297">
        <v>0.17100000000000001</v>
      </c>
      <c r="H297">
        <v>9</v>
      </c>
      <c r="I297">
        <v>81</v>
      </c>
      <c r="J297">
        <v>0.74</v>
      </c>
      <c r="K297">
        <v>0</v>
      </c>
      <c r="L297">
        <v>4.5999999999999996</v>
      </c>
      <c r="M297">
        <v>487738.26</v>
      </c>
      <c r="N297">
        <v>96435.6</v>
      </c>
      <c r="O297">
        <f t="shared" si="24"/>
        <v>0</v>
      </c>
      <c r="P297">
        <f t="shared" si="25"/>
        <v>0</v>
      </c>
      <c r="Q297">
        <f t="shared" si="26"/>
        <v>0</v>
      </c>
      <c r="R297">
        <f t="shared" si="27"/>
        <v>0</v>
      </c>
      <c r="S297">
        <f t="shared" si="28"/>
        <v>1</v>
      </c>
      <c r="T297">
        <f t="shared" si="29"/>
        <v>0</v>
      </c>
    </row>
    <row r="298" spans="1:20">
      <c r="A298" t="s">
        <v>96</v>
      </c>
      <c r="B298" s="2">
        <v>45658</v>
      </c>
      <c r="C298" t="s">
        <v>27</v>
      </c>
      <c r="D298" t="s">
        <v>18</v>
      </c>
      <c r="E298">
        <v>55599.56</v>
      </c>
      <c r="F298">
        <v>5896</v>
      </c>
      <c r="G298">
        <v>3.5999999999999997E-2</v>
      </c>
      <c r="H298">
        <v>12</v>
      </c>
      <c r="I298">
        <v>93.1</v>
      </c>
      <c r="J298">
        <v>6.13</v>
      </c>
      <c r="K298">
        <v>0</v>
      </c>
      <c r="L298">
        <v>3.3</v>
      </c>
      <c r="M298">
        <v>668459.37</v>
      </c>
      <c r="N298">
        <v>126435.42</v>
      </c>
      <c r="O298">
        <f t="shared" si="24"/>
        <v>0</v>
      </c>
      <c r="P298">
        <f t="shared" si="25"/>
        <v>0</v>
      </c>
      <c r="Q298">
        <f t="shared" si="26"/>
        <v>0</v>
      </c>
      <c r="R298">
        <f t="shared" si="27"/>
        <v>0</v>
      </c>
      <c r="S298">
        <f t="shared" si="28"/>
        <v>1</v>
      </c>
      <c r="T298">
        <f t="shared" si="29"/>
        <v>0</v>
      </c>
    </row>
    <row r="299" spans="1:20">
      <c r="A299" t="s">
        <v>96</v>
      </c>
      <c r="B299" s="2">
        <v>45689</v>
      </c>
      <c r="C299" t="s">
        <v>27</v>
      </c>
      <c r="D299" t="s">
        <v>18</v>
      </c>
      <c r="E299">
        <v>55477.61</v>
      </c>
      <c r="F299">
        <v>5903</v>
      </c>
      <c r="G299">
        <v>0.10199999999999999</v>
      </c>
      <c r="H299">
        <v>14</v>
      </c>
      <c r="I299">
        <v>96.2</v>
      </c>
      <c r="J299">
        <v>1.41</v>
      </c>
      <c r="K299">
        <v>0</v>
      </c>
      <c r="L299">
        <v>3.3</v>
      </c>
      <c r="M299">
        <v>763162.45</v>
      </c>
      <c r="N299">
        <v>162524.04999999999</v>
      </c>
      <c r="O299">
        <f t="shared" si="24"/>
        <v>0</v>
      </c>
      <c r="P299">
        <f t="shared" si="25"/>
        <v>0</v>
      </c>
      <c r="Q299">
        <f t="shared" si="26"/>
        <v>0</v>
      </c>
      <c r="R299">
        <f t="shared" si="27"/>
        <v>0</v>
      </c>
      <c r="S299">
        <f t="shared" si="28"/>
        <v>1</v>
      </c>
      <c r="T299">
        <f t="shared" si="29"/>
        <v>0</v>
      </c>
    </row>
    <row r="300" spans="1:20">
      <c r="A300" t="s">
        <v>96</v>
      </c>
      <c r="B300" s="2">
        <v>45717</v>
      </c>
      <c r="C300" t="s">
        <v>27</v>
      </c>
      <c r="D300" t="s">
        <v>18</v>
      </c>
      <c r="E300">
        <v>46174.7</v>
      </c>
      <c r="F300">
        <v>4898</v>
      </c>
      <c r="G300">
        <v>0.114</v>
      </c>
      <c r="H300">
        <v>11</v>
      </c>
      <c r="I300">
        <v>91.7</v>
      </c>
      <c r="J300">
        <v>3.75</v>
      </c>
      <c r="K300">
        <v>0</v>
      </c>
      <c r="L300">
        <v>3.1</v>
      </c>
      <c r="M300">
        <v>599017.32999999996</v>
      </c>
      <c r="N300">
        <v>134009.92000000001</v>
      </c>
      <c r="O300">
        <f t="shared" si="24"/>
        <v>0</v>
      </c>
      <c r="P300">
        <f t="shared" si="25"/>
        <v>0</v>
      </c>
      <c r="Q300">
        <f t="shared" si="26"/>
        <v>0</v>
      </c>
      <c r="R300">
        <f t="shared" si="27"/>
        <v>0</v>
      </c>
      <c r="S300">
        <f t="shared" si="28"/>
        <v>1</v>
      </c>
      <c r="T300">
        <f t="shared" si="29"/>
        <v>0</v>
      </c>
    </row>
    <row r="301" spans="1:20">
      <c r="A301" t="s">
        <v>96</v>
      </c>
      <c r="B301" s="2">
        <v>45748</v>
      </c>
      <c r="C301" t="s">
        <v>27</v>
      </c>
      <c r="D301" t="s">
        <v>18</v>
      </c>
      <c r="E301">
        <v>24362.98</v>
      </c>
      <c r="F301">
        <v>1462</v>
      </c>
      <c r="G301">
        <v>0.11700000000000001</v>
      </c>
      <c r="H301">
        <v>6</v>
      </c>
      <c r="I301">
        <v>89.3</v>
      </c>
      <c r="J301">
        <v>15.06</v>
      </c>
      <c r="K301">
        <v>0</v>
      </c>
      <c r="L301">
        <v>3.2</v>
      </c>
      <c r="M301">
        <v>401582.58</v>
      </c>
      <c r="N301">
        <v>68454.929999999993</v>
      </c>
      <c r="O301">
        <f t="shared" si="24"/>
        <v>0</v>
      </c>
      <c r="P301">
        <f t="shared" si="25"/>
        <v>0</v>
      </c>
      <c r="Q301">
        <f t="shared" si="26"/>
        <v>0</v>
      </c>
      <c r="R301">
        <f t="shared" si="27"/>
        <v>0</v>
      </c>
      <c r="S301">
        <f t="shared" si="28"/>
        <v>1</v>
      </c>
      <c r="T301">
        <f t="shared" si="29"/>
        <v>0</v>
      </c>
    </row>
    <row r="302" spans="1:20">
      <c r="A302" t="s">
        <v>97</v>
      </c>
      <c r="B302" s="2">
        <v>45658</v>
      </c>
      <c r="C302" t="s">
        <v>20</v>
      </c>
      <c r="D302" t="s">
        <v>28</v>
      </c>
      <c r="E302">
        <v>40647.67</v>
      </c>
      <c r="F302">
        <v>8252</v>
      </c>
      <c r="G302">
        <v>0.14099999999999999</v>
      </c>
      <c r="H302">
        <v>22</v>
      </c>
      <c r="I302">
        <v>88.2</v>
      </c>
      <c r="J302">
        <v>5.07</v>
      </c>
      <c r="K302">
        <v>1</v>
      </c>
      <c r="L302">
        <v>4.0999999999999996</v>
      </c>
      <c r="M302">
        <v>703812.99</v>
      </c>
      <c r="N302">
        <v>133577.98000000001</v>
      </c>
      <c r="O302">
        <f t="shared" si="24"/>
        <v>0</v>
      </c>
      <c r="P302">
        <f t="shared" si="25"/>
        <v>1</v>
      </c>
      <c r="Q302">
        <f t="shared" si="26"/>
        <v>0</v>
      </c>
      <c r="R302">
        <f t="shared" si="27"/>
        <v>0</v>
      </c>
      <c r="S302">
        <f t="shared" si="28"/>
        <v>0</v>
      </c>
      <c r="T302">
        <f t="shared" si="29"/>
        <v>0</v>
      </c>
    </row>
    <row r="303" spans="1:20">
      <c r="A303" t="s">
        <v>97</v>
      </c>
      <c r="B303" s="2">
        <v>45689</v>
      </c>
      <c r="C303" t="s">
        <v>20</v>
      </c>
      <c r="D303" t="s">
        <v>28</v>
      </c>
      <c r="E303">
        <v>63986.98</v>
      </c>
      <c r="F303">
        <v>7989</v>
      </c>
      <c r="G303">
        <v>7.3999999999999996E-2</v>
      </c>
      <c r="H303">
        <v>20</v>
      </c>
      <c r="I303">
        <v>83.3</v>
      </c>
      <c r="J303">
        <v>3.6</v>
      </c>
      <c r="K303">
        <v>0</v>
      </c>
      <c r="L303">
        <v>3.7</v>
      </c>
      <c r="M303">
        <v>724346.73</v>
      </c>
      <c r="N303">
        <v>155013.91</v>
      </c>
      <c r="O303">
        <f t="shared" si="24"/>
        <v>0</v>
      </c>
      <c r="P303">
        <f t="shared" si="25"/>
        <v>1</v>
      </c>
      <c r="Q303">
        <f t="shared" si="26"/>
        <v>0</v>
      </c>
      <c r="R303">
        <f t="shared" si="27"/>
        <v>0</v>
      </c>
      <c r="S303">
        <f t="shared" si="28"/>
        <v>0</v>
      </c>
      <c r="T303">
        <f t="shared" si="29"/>
        <v>0</v>
      </c>
    </row>
    <row r="304" spans="1:20">
      <c r="A304" t="s">
        <v>97</v>
      </c>
      <c r="B304" s="2">
        <v>45717</v>
      </c>
      <c r="C304" t="s">
        <v>20</v>
      </c>
      <c r="D304" t="s">
        <v>28</v>
      </c>
      <c r="E304">
        <v>52843.75</v>
      </c>
      <c r="F304">
        <v>8268</v>
      </c>
      <c r="G304">
        <v>0.13800000000000001</v>
      </c>
      <c r="H304">
        <v>19</v>
      </c>
      <c r="I304">
        <v>87.3</v>
      </c>
      <c r="J304">
        <v>4.3899999999999997</v>
      </c>
      <c r="K304">
        <v>1</v>
      </c>
      <c r="L304">
        <v>4.7</v>
      </c>
      <c r="M304">
        <v>730890.01</v>
      </c>
      <c r="N304">
        <v>105502.56</v>
      </c>
      <c r="O304">
        <f t="shared" si="24"/>
        <v>0</v>
      </c>
      <c r="P304">
        <f t="shared" si="25"/>
        <v>1</v>
      </c>
      <c r="Q304">
        <f t="shared" si="26"/>
        <v>0</v>
      </c>
      <c r="R304">
        <f t="shared" si="27"/>
        <v>0</v>
      </c>
      <c r="S304">
        <f t="shared" si="28"/>
        <v>0</v>
      </c>
      <c r="T304">
        <f t="shared" si="29"/>
        <v>0</v>
      </c>
    </row>
    <row r="305" spans="1:20">
      <c r="A305" t="s">
        <v>97</v>
      </c>
      <c r="B305" s="2">
        <v>45748</v>
      </c>
      <c r="C305" t="s">
        <v>20</v>
      </c>
      <c r="D305" t="s">
        <v>28</v>
      </c>
      <c r="E305">
        <v>31997.25</v>
      </c>
      <c r="F305">
        <v>8183</v>
      </c>
      <c r="G305">
        <v>0.19800000000000001</v>
      </c>
      <c r="H305">
        <v>18</v>
      </c>
      <c r="I305">
        <v>93</v>
      </c>
      <c r="J305">
        <v>2.79</v>
      </c>
      <c r="K305">
        <v>0</v>
      </c>
      <c r="L305">
        <v>4.2</v>
      </c>
      <c r="M305">
        <v>780580.95</v>
      </c>
      <c r="N305">
        <v>138144.46</v>
      </c>
      <c r="O305">
        <f t="shared" si="24"/>
        <v>0</v>
      </c>
      <c r="P305">
        <f t="shared" si="25"/>
        <v>1</v>
      </c>
      <c r="Q305">
        <f t="shared" si="26"/>
        <v>0</v>
      </c>
      <c r="R305">
        <f t="shared" si="27"/>
        <v>0</v>
      </c>
      <c r="S305">
        <f t="shared" si="28"/>
        <v>0</v>
      </c>
      <c r="T305">
        <f t="shared" si="29"/>
        <v>0</v>
      </c>
    </row>
    <row r="306" spans="1:20">
      <c r="A306" t="s">
        <v>98</v>
      </c>
      <c r="B306" s="2">
        <v>45658</v>
      </c>
      <c r="C306" t="s">
        <v>24</v>
      </c>
      <c r="D306" t="s">
        <v>16</v>
      </c>
      <c r="E306">
        <v>54948.02</v>
      </c>
      <c r="F306">
        <v>6534</v>
      </c>
      <c r="G306">
        <v>0.183</v>
      </c>
      <c r="H306">
        <v>14</v>
      </c>
      <c r="I306">
        <v>94.5</v>
      </c>
      <c r="J306">
        <v>1.56</v>
      </c>
      <c r="K306">
        <v>0</v>
      </c>
      <c r="L306">
        <v>4</v>
      </c>
      <c r="M306">
        <v>727957.48</v>
      </c>
      <c r="N306">
        <v>74805.23</v>
      </c>
      <c r="O306">
        <f t="shared" si="24"/>
        <v>0</v>
      </c>
      <c r="P306">
        <f t="shared" si="25"/>
        <v>0</v>
      </c>
      <c r="Q306">
        <f t="shared" si="26"/>
        <v>1</v>
      </c>
      <c r="R306">
        <f t="shared" si="27"/>
        <v>1</v>
      </c>
      <c r="S306">
        <f t="shared" si="28"/>
        <v>0</v>
      </c>
      <c r="T306">
        <f t="shared" si="29"/>
        <v>0</v>
      </c>
    </row>
    <row r="307" spans="1:20">
      <c r="A307" t="s">
        <v>98</v>
      </c>
      <c r="B307" s="2">
        <v>45689</v>
      </c>
      <c r="C307" t="s">
        <v>24</v>
      </c>
      <c r="D307" t="s">
        <v>16</v>
      </c>
      <c r="E307">
        <v>46146.239999999998</v>
      </c>
      <c r="F307">
        <v>5804</v>
      </c>
      <c r="G307">
        <v>4.7E-2</v>
      </c>
      <c r="H307">
        <v>16</v>
      </c>
      <c r="I307">
        <v>86.9</v>
      </c>
      <c r="J307">
        <v>15.82</v>
      </c>
      <c r="K307">
        <v>0</v>
      </c>
      <c r="L307">
        <v>3.8</v>
      </c>
      <c r="M307">
        <v>538376</v>
      </c>
      <c r="N307">
        <v>87605.62</v>
      </c>
      <c r="O307">
        <f t="shared" si="24"/>
        <v>0</v>
      </c>
      <c r="P307">
        <f t="shared" si="25"/>
        <v>0</v>
      </c>
      <c r="Q307">
        <f t="shared" si="26"/>
        <v>1</v>
      </c>
      <c r="R307">
        <f t="shared" si="27"/>
        <v>1</v>
      </c>
      <c r="S307">
        <f t="shared" si="28"/>
        <v>0</v>
      </c>
      <c r="T307">
        <f t="shared" si="29"/>
        <v>0</v>
      </c>
    </row>
    <row r="308" spans="1:20">
      <c r="A308" t="s">
        <v>98</v>
      </c>
      <c r="B308" s="2">
        <v>45717</v>
      </c>
      <c r="C308" t="s">
        <v>24</v>
      </c>
      <c r="D308" t="s">
        <v>16</v>
      </c>
      <c r="E308">
        <v>22387.26</v>
      </c>
      <c r="F308">
        <v>6301</v>
      </c>
      <c r="G308">
        <v>0.14599999999999999</v>
      </c>
      <c r="H308">
        <v>14</v>
      </c>
      <c r="I308">
        <v>85.9</v>
      </c>
      <c r="J308">
        <v>1.17</v>
      </c>
      <c r="K308">
        <v>1</v>
      </c>
      <c r="L308">
        <v>3.7</v>
      </c>
      <c r="M308">
        <v>665342.49</v>
      </c>
      <c r="N308">
        <v>93441.81</v>
      </c>
      <c r="O308">
        <f t="shared" si="24"/>
        <v>0</v>
      </c>
      <c r="P308">
        <f t="shared" si="25"/>
        <v>0</v>
      </c>
      <c r="Q308">
        <f t="shared" si="26"/>
        <v>1</v>
      </c>
      <c r="R308">
        <f t="shared" si="27"/>
        <v>1</v>
      </c>
      <c r="S308">
        <f t="shared" si="28"/>
        <v>0</v>
      </c>
      <c r="T308">
        <f t="shared" si="29"/>
        <v>0</v>
      </c>
    </row>
    <row r="309" spans="1:20">
      <c r="A309" t="s">
        <v>98</v>
      </c>
      <c r="B309" s="2">
        <v>45748</v>
      </c>
      <c r="C309" t="s">
        <v>24</v>
      </c>
      <c r="D309" t="s">
        <v>16</v>
      </c>
      <c r="E309">
        <v>60684.05</v>
      </c>
      <c r="F309">
        <v>6399</v>
      </c>
      <c r="G309">
        <v>7.4999999999999997E-2</v>
      </c>
      <c r="H309">
        <v>16</v>
      </c>
      <c r="I309">
        <v>99</v>
      </c>
      <c r="J309">
        <v>3.82</v>
      </c>
      <c r="K309">
        <v>0</v>
      </c>
      <c r="L309">
        <v>3.5</v>
      </c>
      <c r="M309">
        <v>651164.18000000005</v>
      </c>
      <c r="N309">
        <v>109466.5</v>
      </c>
      <c r="O309">
        <f t="shared" si="24"/>
        <v>0</v>
      </c>
      <c r="P309">
        <f t="shared" si="25"/>
        <v>0</v>
      </c>
      <c r="Q309">
        <f t="shared" si="26"/>
        <v>1</v>
      </c>
      <c r="R309">
        <f t="shared" si="27"/>
        <v>1</v>
      </c>
      <c r="S309">
        <f t="shared" si="28"/>
        <v>0</v>
      </c>
      <c r="T309">
        <f t="shared" si="29"/>
        <v>0</v>
      </c>
    </row>
    <row r="310" spans="1:20">
      <c r="A310" t="s">
        <v>99</v>
      </c>
      <c r="B310" s="2">
        <v>45658</v>
      </c>
      <c r="C310" t="s">
        <v>24</v>
      </c>
      <c r="D310" t="s">
        <v>18</v>
      </c>
      <c r="E310">
        <v>48465.599999999999</v>
      </c>
      <c r="F310">
        <v>5759</v>
      </c>
      <c r="G310">
        <v>0.154</v>
      </c>
      <c r="H310">
        <v>13</v>
      </c>
      <c r="I310">
        <v>87.5</v>
      </c>
      <c r="J310">
        <v>4.1399999999999997</v>
      </c>
      <c r="K310">
        <v>0</v>
      </c>
      <c r="L310">
        <v>4</v>
      </c>
      <c r="M310">
        <v>628538.30000000005</v>
      </c>
      <c r="N310">
        <v>112509.15</v>
      </c>
      <c r="O310">
        <f t="shared" si="24"/>
        <v>0</v>
      </c>
      <c r="P310">
        <f t="shared" si="25"/>
        <v>0</v>
      </c>
      <c r="Q310">
        <f t="shared" si="26"/>
        <v>1</v>
      </c>
      <c r="R310">
        <f t="shared" si="27"/>
        <v>0</v>
      </c>
      <c r="S310">
        <f t="shared" si="28"/>
        <v>1</v>
      </c>
      <c r="T310">
        <f t="shared" si="29"/>
        <v>0</v>
      </c>
    </row>
    <row r="311" spans="1:20">
      <c r="A311" t="s">
        <v>99</v>
      </c>
      <c r="B311" s="2">
        <v>45689</v>
      </c>
      <c r="C311" t="s">
        <v>24</v>
      </c>
      <c r="D311" t="s">
        <v>18</v>
      </c>
      <c r="E311">
        <v>23702.38</v>
      </c>
      <c r="F311">
        <v>5285</v>
      </c>
      <c r="G311">
        <v>0.16700000000000001</v>
      </c>
      <c r="H311">
        <v>14</v>
      </c>
      <c r="I311">
        <v>79.7</v>
      </c>
      <c r="J311">
        <v>1.1000000000000001</v>
      </c>
      <c r="K311">
        <v>0</v>
      </c>
      <c r="L311">
        <v>4.3</v>
      </c>
      <c r="M311">
        <v>536524.84</v>
      </c>
      <c r="N311">
        <v>92752.94</v>
      </c>
      <c r="O311">
        <f t="shared" si="24"/>
        <v>0</v>
      </c>
      <c r="P311">
        <f t="shared" si="25"/>
        <v>0</v>
      </c>
      <c r="Q311">
        <f t="shared" si="26"/>
        <v>1</v>
      </c>
      <c r="R311">
        <f t="shared" si="27"/>
        <v>0</v>
      </c>
      <c r="S311">
        <f t="shared" si="28"/>
        <v>1</v>
      </c>
      <c r="T311">
        <f t="shared" si="29"/>
        <v>0</v>
      </c>
    </row>
    <row r="312" spans="1:20">
      <c r="A312" t="s">
        <v>99</v>
      </c>
      <c r="B312" s="2">
        <v>45717</v>
      </c>
      <c r="C312" t="s">
        <v>24</v>
      </c>
      <c r="D312" t="s">
        <v>18</v>
      </c>
      <c r="E312">
        <v>54322.94</v>
      </c>
      <c r="F312">
        <v>5434</v>
      </c>
      <c r="G312">
        <v>0.2</v>
      </c>
      <c r="H312">
        <v>13</v>
      </c>
      <c r="I312">
        <v>85.7</v>
      </c>
      <c r="J312">
        <v>10.6</v>
      </c>
      <c r="K312">
        <v>0</v>
      </c>
      <c r="L312">
        <v>4.2</v>
      </c>
      <c r="M312">
        <v>621677.30000000005</v>
      </c>
      <c r="N312">
        <v>105192.52</v>
      </c>
      <c r="O312">
        <f t="shared" si="24"/>
        <v>0</v>
      </c>
      <c r="P312">
        <f t="shared" si="25"/>
        <v>0</v>
      </c>
      <c r="Q312">
        <f t="shared" si="26"/>
        <v>1</v>
      </c>
      <c r="R312">
        <f t="shared" si="27"/>
        <v>0</v>
      </c>
      <c r="S312">
        <f t="shared" si="28"/>
        <v>1</v>
      </c>
      <c r="T312">
        <f t="shared" si="29"/>
        <v>0</v>
      </c>
    </row>
    <row r="313" spans="1:20">
      <c r="A313" t="s">
        <v>99</v>
      </c>
      <c r="B313" s="2">
        <v>45748</v>
      </c>
      <c r="C313" t="s">
        <v>24</v>
      </c>
      <c r="D313" t="s">
        <v>18</v>
      </c>
      <c r="E313">
        <v>86026.58</v>
      </c>
      <c r="F313">
        <v>7479</v>
      </c>
      <c r="G313">
        <v>0.14199999999999999</v>
      </c>
      <c r="H313">
        <v>20</v>
      </c>
      <c r="I313">
        <v>89</v>
      </c>
      <c r="J313">
        <v>0.9</v>
      </c>
      <c r="K313">
        <v>0</v>
      </c>
      <c r="L313">
        <f>3.924</f>
        <v>3.9239999999999999</v>
      </c>
      <c r="M313">
        <v>771129.07</v>
      </c>
      <c r="N313">
        <v>116851.13</v>
      </c>
      <c r="O313">
        <f t="shared" si="24"/>
        <v>0</v>
      </c>
      <c r="P313">
        <f t="shared" si="25"/>
        <v>0</v>
      </c>
      <c r="Q313">
        <f t="shared" si="26"/>
        <v>1</v>
      </c>
      <c r="R313">
        <f t="shared" si="27"/>
        <v>0</v>
      </c>
      <c r="S313">
        <f t="shared" si="28"/>
        <v>1</v>
      </c>
      <c r="T313">
        <f t="shared" si="29"/>
        <v>0</v>
      </c>
    </row>
    <row r="314" spans="1:20">
      <c r="A314" t="s">
        <v>100</v>
      </c>
      <c r="B314" s="2">
        <v>45658</v>
      </c>
      <c r="C314" t="s">
        <v>20</v>
      </c>
      <c r="D314" t="s">
        <v>16</v>
      </c>
      <c r="E314">
        <v>78967.520000000004</v>
      </c>
      <c r="F314">
        <v>6164</v>
      </c>
      <c r="G314">
        <v>2.1000000000000001E-2</v>
      </c>
      <c r="H314">
        <v>16</v>
      </c>
      <c r="I314">
        <v>85.5</v>
      </c>
      <c r="J314">
        <v>0.2</v>
      </c>
      <c r="K314">
        <v>0</v>
      </c>
      <c r="L314">
        <v>3.4</v>
      </c>
      <c r="M314">
        <v>702052.47</v>
      </c>
      <c r="N314">
        <v>121732.51</v>
      </c>
      <c r="O314">
        <f t="shared" si="24"/>
        <v>0</v>
      </c>
      <c r="P314">
        <f t="shared" si="25"/>
        <v>1</v>
      </c>
      <c r="Q314">
        <f t="shared" si="26"/>
        <v>0</v>
      </c>
      <c r="R314">
        <f t="shared" si="27"/>
        <v>1</v>
      </c>
      <c r="S314">
        <f t="shared" si="28"/>
        <v>0</v>
      </c>
      <c r="T314">
        <f t="shared" si="29"/>
        <v>0</v>
      </c>
    </row>
    <row r="315" spans="1:20">
      <c r="A315" t="s">
        <v>100</v>
      </c>
      <c r="B315" s="2">
        <v>45689</v>
      </c>
      <c r="C315" t="s">
        <v>20</v>
      </c>
      <c r="D315" t="s">
        <v>16</v>
      </c>
      <c r="E315">
        <v>46767.99</v>
      </c>
      <c r="F315">
        <v>7973</v>
      </c>
      <c r="G315">
        <v>0.183</v>
      </c>
      <c r="H315">
        <v>18</v>
      </c>
      <c r="I315">
        <v>94.8</v>
      </c>
      <c r="J315">
        <v>4.67</v>
      </c>
      <c r="K315">
        <v>0</v>
      </c>
      <c r="L315">
        <f>3.924</f>
        <v>3.9239999999999999</v>
      </c>
      <c r="M315">
        <v>688368.46</v>
      </c>
      <c r="N315">
        <v>93588.42</v>
      </c>
      <c r="O315">
        <f t="shared" si="24"/>
        <v>0</v>
      </c>
      <c r="P315">
        <f t="shared" si="25"/>
        <v>1</v>
      </c>
      <c r="Q315">
        <f t="shared" si="26"/>
        <v>0</v>
      </c>
      <c r="R315">
        <f t="shared" si="27"/>
        <v>1</v>
      </c>
      <c r="S315">
        <f t="shared" si="28"/>
        <v>0</v>
      </c>
      <c r="T315">
        <f t="shared" si="29"/>
        <v>0</v>
      </c>
    </row>
    <row r="316" spans="1:20">
      <c r="A316" t="s">
        <v>100</v>
      </c>
      <c r="B316" s="2">
        <v>45717</v>
      </c>
      <c r="C316" t="s">
        <v>20</v>
      </c>
      <c r="D316" t="s">
        <v>16</v>
      </c>
      <c r="E316">
        <v>62507.16</v>
      </c>
      <c r="F316">
        <v>6000</v>
      </c>
      <c r="G316">
        <v>9.0999999999999998E-2</v>
      </c>
      <c r="H316">
        <v>14</v>
      </c>
      <c r="I316">
        <v>98.2</v>
      </c>
      <c r="J316">
        <v>4.38</v>
      </c>
      <c r="K316">
        <v>1</v>
      </c>
      <c r="L316">
        <v>3.9</v>
      </c>
      <c r="M316">
        <v>712375.77</v>
      </c>
      <c r="N316">
        <v>104171.53</v>
      </c>
      <c r="O316">
        <f t="shared" si="24"/>
        <v>0</v>
      </c>
      <c r="P316">
        <f t="shared" si="25"/>
        <v>1</v>
      </c>
      <c r="Q316">
        <f t="shared" si="26"/>
        <v>0</v>
      </c>
      <c r="R316">
        <f t="shared" si="27"/>
        <v>1</v>
      </c>
      <c r="S316">
        <f t="shared" si="28"/>
        <v>0</v>
      </c>
      <c r="T316">
        <f t="shared" si="29"/>
        <v>0</v>
      </c>
    </row>
    <row r="317" spans="1:20">
      <c r="A317" t="s">
        <v>100</v>
      </c>
      <c r="B317" s="2">
        <v>45748</v>
      </c>
      <c r="C317" t="s">
        <v>20</v>
      </c>
      <c r="D317" t="s">
        <v>16</v>
      </c>
      <c r="E317">
        <v>66456.28</v>
      </c>
      <c r="F317">
        <v>9967</v>
      </c>
      <c r="G317">
        <v>0.108</v>
      </c>
      <c r="H317">
        <v>20</v>
      </c>
      <c r="I317">
        <v>94.7</v>
      </c>
      <c r="J317">
        <v>4.4800000000000004</v>
      </c>
      <c r="K317">
        <v>0</v>
      </c>
      <c r="L317">
        <v>4.2</v>
      </c>
      <c r="M317">
        <v>844710.67</v>
      </c>
      <c r="N317">
        <v>137140.18</v>
      </c>
      <c r="O317">
        <f t="shared" si="24"/>
        <v>0</v>
      </c>
      <c r="P317">
        <f t="shared" si="25"/>
        <v>1</v>
      </c>
      <c r="Q317">
        <f t="shared" si="26"/>
        <v>0</v>
      </c>
      <c r="R317">
        <f t="shared" si="27"/>
        <v>1</v>
      </c>
      <c r="S317">
        <f t="shared" si="28"/>
        <v>0</v>
      </c>
      <c r="T317">
        <f t="shared" si="29"/>
        <v>0</v>
      </c>
    </row>
    <row r="318" spans="1:20">
      <c r="A318" t="s">
        <v>101</v>
      </c>
      <c r="B318" s="2">
        <v>45658</v>
      </c>
      <c r="C318" t="s">
        <v>15</v>
      </c>
      <c r="D318" t="s">
        <v>16</v>
      </c>
      <c r="E318">
        <v>76614.320000000007</v>
      </c>
      <c r="F318">
        <v>5639</v>
      </c>
      <c r="G318">
        <v>0.17399999999999999</v>
      </c>
      <c r="H318">
        <v>15</v>
      </c>
      <c r="I318">
        <v>92.9</v>
      </c>
      <c r="J318">
        <v>1.02</v>
      </c>
      <c r="K318">
        <v>1</v>
      </c>
      <c r="L318">
        <v>4</v>
      </c>
      <c r="M318">
        <v>620264.19999999995</v>
      </c>
      <c r="N318">
        <v>91365.64</v>
      </c>
      <c r="O318">
        <f t="shared" si="24"/>
        <v>1</v>
      </c>
      <c r="P318">
        <f t="shared" si="25"/>
        <v>0</v>
      </c>
      <c r="Q318">
        <f t="shared" si="26"/>
        <v>0</v>
      </c>
      <c r="R318">
        <f t="shared" si="27"/>
        <v>1</v>
      </c>
      <c r="S318">
        <f t="shared" si="28"/>
        <v>0</v>
      </c>
      <c r="T318">
        <f t="shared" si="29"/>
        <v>0</v>
      </c>
    </row>
    <row r="319" spans="1:20">
      <c r="A319" t="s">
        <v>101</v>
      </c>
      <c r="B319" s="2">
        <v>45689</v>
      </c>
      <c r="C319" t="s">
        <v>15</v>
      </c>
      <c r="D319" t="s">
        <v>16</v>
      </c>
      <c r="E319">
        <v>24088.06</v>
      </c>
      <c r="F319">
        <v>3466</v>
      </c>
      <c r="G319">
        <v>0</v>
      </c>
      <c r="H319">
        <v>11</v>
      </c>
      <c r="I319">
        <v>88</v>
      </c>
      <c r="J319">
        <v>0.2</v>
      </c>
      <c r="K319">
        <v>0</v>
      </c>
      <c r="L319">
        <v>3.8</v>
      </c>
      <c r="M319">
        <v>536845.42000000004</v>
      </c>
      <c r="N319">
        <v>107473.75</v>
      </c>
      <c r="O319">
        <f t="shared" si="24"/>
        <v>1</v>
      </c>
      <c r="P319">
        <f t="shared" si="25"/>
        <v>0</v>
      </c>
      <c r="Q319">
        <f t="shared" si="26"/>
        <v>0</v>
      </c>
      <c r="R319">
        <f t="shared" si="27"/>
        <v>1</v>
      </c>
      <c r="S319">
        <f t="shared" si="28"/>
        <v>0</v>
      </c>
      <c r="T319">
        <f t="shared" si="29"/>
        <v>0</v>
      </c>
    </row>
    <row r="320" spans="1:20">
      <c r="A320" t="s">
        <v>101</v>
      </c>
      <c r="B320" s="2">
        <v>45717</v>
      </c>
      <c r="C320" t="s">
        <v>15</v>
      </c>
      <c r="D320" t="s">
        <v>16</v>
      </c>
      <c r="E320">
        <v>81902.58</v>
      </c>
      <c r="F320">
        <v>7775</v>
      </c>
      <c r="G320">
        <v>0.215</v>
      </c>
      <c r="H320">
        <v>20</v>
      </c>
      <c r="I320">
        <v>85.2</v>
      </c>
      <c r="J320">
        <v>4.8899999999999997</v>
      </c>
      <c r="K320">
        <v>1</v>
      </c>
      <c r="L320">
        <v>4.2</v>
      </c>
      <c r="M320">
        <v>726776.22</v>
      </c>
      <c r="N320">
        <v>90804.49</v>
      </c>
      <c r="O320">
        <f t="shared" si="24"/>
        <v>1</v>
      </c>
      <c r="P320">
        <f t="shared" si="25"/>
        <v>0</v>
      </c>
      <c r="Q320">
        <f t="shared" si="26"/>
        <v>0</v>
      </c>
      <c r="R320">
        <f t="shared" si="27"/>
        <v>1</v>
      </c>
      <c r="S320">
        <f t="shared" si="28"/>
        <v>0</v>
      </c>
      <c r="T320">
        <f t="shared" si="29"/>
        <v>0</v>
      </c>
    </row>
    <row r="321" spans="1:20">
      <c r="A321" t="s">
        <v>101</v>
      </c>
      <c r="B321" s="2">
        <v>45748</v>
      </c>
      <c r="C321" t="s">
        <v>15</v>
      </c>
      <c r="D321" t="s">
        <v>16</v>
      </c>
      <c r="E321">
        <v>40553.11</v>
      </c>
      <c r="F321">
        <v>5317</v>
      </c>
      <c r="G321">
        <v>0.16500000000000001</v>
      </c>
      <c r="H321">
        <v>17</v>
      </c>
      <c r="I321">
        <v>84.3</v>
      </c>
      <c r="J321">
        <v>11.82</v>
      </c>
      <c r="K321">
        <v>0</v>
      </c>
      <c r="L321">
        <v>4.0999999999999996</v>
      </c>
      <c r="M321">
        <v>559660.84</v>
      </c>
      <c r="N321">
        <v>71443.61</v>
      </c>
      <c r="O321">
        <f t="shared" si="24"/>
        <v>1</v>
      </c>
      <c r="P321">
        <f t="shared" si="25"/>
        <v>0</v>
      </c>
      <c r="Q321">
        <f t="shared" si="26"/>
        <v>0</v>
      </c>
      <c r="R321">
        <f t="shared" si="27"/>
        <v>1</v>
      </c>
      <c r="S321">
        <f t="shared" si="28"/>
        <v>0</v>
      </c>
      <c r="T321">
        <f t="shared" si="29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58ABE-ED1E-42AB-B02D-9DC811121067}">
  <dimension ref="A1:I25"/>
  <sheetViews>
    <sheetView zoomScale="78" zoomScaleNormal="100" workbookViewId="0">
      <selection activeCell="L11" sqref="L11"/>
    </sheetView>
  </sheetViews>
  <sheetFormatPr defaultRowHeight="14"/>
  <cols>
    <col min="3" max="3" width="19" customWidth="1"/>
    <col min="4" max="4" width="19.5" customWidth="1"/>
    <col min="5" max="5" width="15.33203125" customWidth="1"/>
    <col min="6" max="6" width="15.83203125" customWidth="1"/>
    <col min="7" max="7" width="15.4140625" customWidth="1"/>
    <col min="8" max="8" width="15.5" customWidth="1"/>
    <col min="9" max="9" width="13.75" customWidth="1"/>
  </cols>
  <sheetData>
    <row r="1" spans="1:9">
      <c r="A1" t="s">
        <v>124</v>
      </c>
    </row>
    <row r="2" spans="1:9" ht="14.5" thickBot="1"/>
    <row r="3" spans="1:9" ht="14.5">
      <c r="A3" s="9" t="s">
        <v>125</v>
      </c>
      <c r="B3" s="9"/>
    </row>
    <row r="4" spans="1:9">
      <c r="A4" s="6" t="s">
        <v>126</v>
      </c>
      <c r="B4" s="6">
        <v>0.91020635513013082</v>
      </c>
    </row>
    <row r="5" spans="1:9">
      <c r="A5" s="6" t="s">
        <v>127</v>
      </c>
      <c r="B5" s="6">
        <v>0.82847560891927774</v>
      </c>
    </row>
    <row r="6" spans="1:9">
      <c r="A6" s="6" t="s">
        <v>128</v>
      </c>
      <c r="B6" s="6">
        <v>0.82406340593327843</v>
      </c>
    </row>
    <row r="7" spans="1:9">
      <c r="A7" s="6" t="s">
        <v>129</v>
      </c>
      <c r="B7" s="6">
        <v>43526.803851786455</v>
      </c>
    </row>
    <row r="8" spans="1:9" ht="14.5" thickBot="1">
      <c r="A8" s="7" t="s">
        <v>130</v>
      </c>
      <c r="B8" s="7">
        <v>320</v>
      </c>
    </row>
    <row r="10" spans="1:9" ht="14.5" thickBot="1">
      <c r="A10" t="s">
        <v>131</v>
      </c>
    </row>
    <row r="11" spans="1:9" ht="14.5">
      <c r="A11" s="8"/>
      <c r="B11" s="8" t="s">
        <v>136</v>
      </c>
      <c r="C11" s="8" t="s">
        <v>137</v>
      </c>
      <c r="D11" s="8" t="s">
        <v>138</v>
      </c>
      <c r="E11" s="8" t="s">
        <v>139</v>
      </c>
      <c r="F11" s="8" t="s">
        <v>140</v>
      </c>
    </row>
    <row r="12" spans="1:9">
      <c r="A12" s="6" t="s">
        <v>132</v>
      </c>
      <c r="B12" s="6">
        <v>8</v>
      </c>
      <c r="C12" s="6">
        <v>2845953411536.1006</v>
      </c>
      <c r="D12" s="6">
        <v>355744176442.01257</v>
      </c>
      <c r="E12" s="6">
        <v>187.76915104499497</v>
      </c>
      <c r="F12" s="6">
        <v>3.2204170579528705E-114</v>
      </c>
    </row>
    <row r="13" spans="1:9">
      <c r="A13" s="6" t="s">
        <v>133</v>
      </c>
      <c r="B13" s="6">
        <v>311</v>
      </c>
      <c r="C13" s="6">
        <v>589215205254.63843</v>
      </c>
      <c r="D13" s="6">
        <v>1894582653.551892</v>
      </c>
      <c r="E13" s="6"/>
      <c r="F13" s="6"/>
    </row>
    <row r="14" spans="1:9" ht="14.5" thickBot="1">
      <c r="A14" s="7" t="s">
        <v>134</v>
      </c>
      <c r="B14" s="7">
        <v>319</v>
      </c>
      <c r="C14" s="7">
        <v>3435168616790.7393</v>
      </c>
      <c r="D14" s="7"/>
      <c r="E14" s="7"/>
      <c r="F14" s="7"/>
    </row>
    <row r="15" spans="1:9" ht="14.5" thickBot="1"/>
    <row r="16" spans="1:9" ht="14.5">
      <c r="A16" s="8"/>
      <c r="B16" s="8" t="s">
        <v>141</v>
      </c>
      <c r="C16" s="8" t="s">
        <v>129</v>
      </c>
      <c r="D16" s="8" t="s">
        <v>142</v>
      </c>
      <c r="E16" s="8" t="s">
        <v>143</v>
      </c>
      <c r="F16" s="8" t="s">
        <v>144</v>
      </c>
      <c r="G16" s="8" t="s">
        <v>145</v>
      </c>
      <c r="H16" s="8" t="s">
        <v>146</v>
      </c>
      <c r="I16" s="8" t="s">
        <v>147</v>
      </c>
    </row>
    <row r="17" spans="1:9">
      <c r="A17" s="6" t="s">
        <v>135</v>
      </c>
      <c r="B17" s="6">
        <v>95006.445153723791</v>
      </c>
      <c r="C17" s="6">
        <v>48095.068141656258</v>
      </c>
      <c r="D17" s="6">
        <v>1.9753885133065545</v>
      </c>
      <c r="E17" s="6">
        <v>4.9107953442378879E-2</v>
      </c>
      <c r="F17" s="6">
        <v>373.57267037242127</v>
      </c>
      <c r="G17" s="6">
        <v>189639.31763707515</v>
      </c>
      <c r="H17" s="6">
        <v>373.57267037242127</v>
      </c>
      <c r="I17" s="6">
        <v>189639.31763707515</v>
      </c>
    </row>
    <row r="18" spans="1:9">
      <c r="A18" s="6" t="s">
        <v>4</v>
      </c>
      <c r="B18" s="6">
        <v>1.1856135894087958</v>
      </c>
      <c r="C18" s="6">
        <v>0.12668885370211699</v>
      </c>
      <c r="D18" s="6">
        <v>9.358468047998322</v>
      </c>
      <c r="E18" s="6">
        <v>1.6725994471833994E-18</v>
      </c>
      <c r="F18" s="6">
        <v>0.93633792351010248</v>
      </c>
      <c r="G18" s="6">
        <v>1.434889255307489</v>
      </c>
      <c r="H18" s="6">
        <v>0.93633792351010248</v>
      </c>
      <c r="I18" s="6">
        <v>1.434889255307489</v>
      </c>
    </row>
    <row r="19" spans="1:9">
      <c r="A19" s="6" t="s">
        <v>5</v>
      </c>
      <c r="B19" s="6">
        <v>27.858020199786598</v>
      </c>
      <c r="C19" s="6">
        <v>2.4878981784988934</v>
      </c>
      <c r="D19" s="6">
        <v>11.197411711035178</v>
      </c>
      <c r="E19" s="6">
        <v>1.1158203549200787E-24</v>
      </c>
      <c r="F19" s="6">
        <v>22.962779166256791</v>
      </c>
      <c r="G19" s="6">
        <v>32.753261233316408</v>
      </c>
      <c r="H19" s="6">
        <v>22.962779166256791</v>
      </c>
      <c r="I19" s="6">
        <v>32.753261233316408</v>
      </c>
    </row>
    <row r="20" spans="1:9">
      <c r="A20" s="6" t="s">
        <v>6</v>
      </c>
      <c r="B20" s="6">
        <v>-72102.239839146991</v>
      </c>
      <c r="C20" s="6">
        <v>36065.76057677815</v>
      </c>
      <c r="D20" s="6">
        <v>-1.9991881132148324</v>
      </c>
      <c r="E20" s="6">
        <v>4.6457824972052975E-2</v>
      </c>
      <c r="F20" s="6">
        <v>-143065.99253879738</v>
      </c>
      <c r="G20" s="6">
        <v>-1138.4871394966176</v>
      </c>
      <c r="H20" s="6">
        <v>-143065.99253879738</v>
      </c>
      <c r="I20" s="6">
        <v>-1138.4871394966176</v>
      </c>
    </row>
    <row r="21" spans="1:9">
      <c r="A21" s="6" t="s">
        <v>7</v>
      </c>
      <c r="B21" s="6">
        <v>3084.0834947928511</v>
      </c>
      <c r="C21" s="6">
        <v>1253.3380613005927</v>
      </c>
      <c r="D21" s="6">
        <v>2.460695633540793</v>
      </c>
      <c r="E21" s="6">
        <v>1.4409936474169119E-2</v>
      </c>
      <c r="F21" s="6">
        <v>617.98903820008582</v>
      </c>
      <c r="G21" s="6">
        <v>5550.1779513856163</v>
      </c>
      <c r="H21" s="6">
        <v>617.98903820008582</v>
      </c>
      <c r="I21" s="6">
        <v>5550.1779513856163</v>
      </c>
    </row>
    <row r="22" spans="1:9">
      <c r="A22" s="6" t="s">
        <v>8</v>
      </c>
      <c r="B22" s="6">
        <v>2989.3264017175857</v>
      </c>
      <c r="C22" s="6">
        <v>458.88369081551912</v>
      </c>
      <c r="D22" s="6">
        <v>6.514344400440585</v>
      </c>
      <c r="E22" s="6">
        <v>2.9352362001583341E-10</v>
      </c>
      <c r="F22" s="6">
        <v>2086.4171539391664</v>
      </c>
      <c r="G22" s="6">
        <v>3892.235649496005</v>
      </c>
      <c r="H22" s="6">
        <v>2086.4171539391664</v>
      </c>
      <c r="I22" s="6">
        <v>3892.235649496005</v>
      </c>
    </row>
    <row r="23" spans="1:9">
      <c r="A23" s="6" t="s">
        <v>9</v>
      </c>
      <c r="B23" s="6">
        <v>-2890.2453542582607</v>
      </c>
      <c r="C23" s="6">
        <v>572.39008873150078</v>
      </c>
      <c r="D23" s="6">
        <v>-5.0494329149958945</v>
      </c>
      <c r="E23" s="6">
        <v>7.561950697658934E-7</v>
      </c>
      <c r="F23" s="6">
        <v>-4016.4921893416913</v>
      </c>
      <c r="G23" s="6">
        <v>-1763.9985191748301</v>
      </c>
      <c r="H23" s="6">
        <v>-4016.4921893416913</v>
      </c>
      <c r="I23" s="6">
        <v>-1763.9985191748301</v>
      </c>
    </row>
    <row r="24" spans="1:9">
      <c r="A24" s="6" t="s">
        <v>10</v>
      </c>
      <c r="B24" s="6">
        <v>12984.117311960286</v>
      </c>
      <c r="C24" s="6">
        <v>6608.8120420306022</v>
      </c>
      <c r="D24" s="6">
        <v>1.9646673606972227</v>
      </c>
      <c r="E24" s="6">
        <v>5.0342790717872753E-2</v>
      </c>
      <c r="F24" s="6">
        <v>-19.520927991306962</v>
      </c>
      <c r="G24" s="6">
        <v>25987.75555191188</v>
      </c>
      <c r="H24" s="6">
        <v>-19.520927991306962</v>
      </c>
      <c r="I24" s="6">
        <v>25987.75555191188</v>
      </c>
    </row>
    <row r="25" spans="1:9" ht="14.5" thickBot="1">
      <c r="A25" s="7" t="s">
        <v>11</v>
      </c>
      <c r="B25" s="7">
        <v>10433.880294469425</v>
      </c>
      <c r="C25" s="7">
        <v>4743.9736815069373</v>
      </c>
      <c r="D25" s="7">
        <v>2.1993967494261208</v>
      </c>
      <c r="E25" s="7">
        <v>2.8585401380734336E-2</v>
      </c>
      <c r="F25" s="7">
        <v>1099.5374228853198</v>
      </c>
      <c r="G25" s="7">
        <v>19768.223166053533</v>
      </c>
      <c r="H25" s="7">
        <v>1099.5374228853198</v>
      </c>
      <c r="I25" s="7">
        <v>19768.223166053533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B89A4-A6DE-4255-A34E-EA36D9485D2A}">
  <dimension ref="A1:I321"/>
  <sheetViews>
    <sheetView topLeftCell="A304" workbookViewId="0">
      <selection activeCell="E317" sqref="A1:I321"/>
    </sheetView>
  </sheetViews>
  <sheetFormatPr defaultRowHeight="14"/>
  <sheetData>
    <row r="1" spans="1:9" ht="4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 spans="1:9">
      <c r="A2">
        <v>70389.11</v>
      </c>
      <c r="B2">
        <v>8302</v>
      </c>
      <c r="C2">
        <v>4.2000000000000003E-2</v>
      </c>
      <c r="D2">
        <v>17</v>
      </c>
      <c r="E2">
        <v>75</v>
      </c>
      <c r="F2">
        <v>5.28</v>
      </c>
      <c r="G2">
        <v>1</v>
      </c>
      <c r="H2">
        <v>3.1</v>
      </c>
      <c r="I2">
        <v>658832.62</v>
      </c>
    </row>
    <row r="3" spans="1:9">
      <c r="A3">
        <v>43827.89</v>
      </c>
      <c r="B3">
        <v>8487</v>
      </c>
      <c r="C3">
        <v>0.16800000000000001</v>
      </c>
      <c r="D3">
        <v>23</v>
      </c>
      <c r="E3">
        <v>84.4</v>
      </c>
      <c r="F3">
        <v>4.3099999999999996</v>
      </c>
      <c r="G3">
        <v>0</v>
      </c>
      <c r="H3">
        <v>2.8</v>
      </c>
      <c r="I3">
        <v>634436</v>
      </c>
    </row>
    <row r="4" spans="1:9">
      <c r="A4">
        <v>59921.75</v>
      </c>
      <c r="B4">
        <v>9113</v>
      </c>
      <c r="C4">
        <v>0.13300000000000001</v>
      </c>
      <c r="D4">
        <v>20</v>
      </c>
      <c r="E4">
        <v>88</v>
      </c>
      <c r="F4">
        <v>12</v>
      </c>
      <c r="G4">
        <v>0</v>
      </c>
      <c r="H4">
        <v>3.2</v>
      </c>
      <c r="I4">
        <v>678722.06</v>
      </c>
    </row>
    <row r="5" spans="1:9">
      <c r="A5">
        <v>56856.63</v>
      </c>
      <c r="B5">
        <v>9431</v>
      </c>
      <c r="C5">
        <v>0.14199999999999999</v>
      </c>
      <c r="D5">
        <v>23</v>
      </c>
      <c r="E5">
        <v>86.9</v>
      </c>
      <c r="F5">
        <v>4.97</v>
      </c>
      <c r="G5">
        <v>0</v>
      </c>
      <c r="H5">
        <v>3.4</v>
      </c>
      <c r="I5">
        <v>658920.30000000005</v>
      </c>
    </row>
    <row r="6" spans="1:9">
      <c r="A6">
        <v>48412.639999999999</v>
      </c>
      <c r="B6">
        <v>9545</v>
      </c>
      <c r="C6">
        <v>0.23100000000000001</v>
      </c>
      <c r="D6">
        <v>21</v>
      </c>
      <c r="E6">
        <v>97.6</v>
      </c>
      <c r="F6">
        <v>6.94</v>
      </c>
      <c r="G6">
        <v>1</v>
      </c>
      <c r="H6">
        <v>4.2</v>
      </c>
      <c r="I6">
        <v>741341.44</v>
      </c>
    </row>
    <row r="7" spans="1:9">
      <c r="A7">
        <v>64811.21</v>
      </c>
      <c r="B7">
        <v>9792</v>
      </c>
      <c r="C7">
        <v>0.112</v>
      </c>
      <c r="D7">
        <v>20</v>
      </c>
      <c r="E7">
        <v>84.2</v>
      </c>
      <c r="F7">
        <v>2.88</v>
      </c>
      <c r="G7">
        <v>0</v>
      </c>
      <c r="H7">
        <v>4.2</v>
      </c>
      <c r="I7">
        <v>761835.34</v>
      </c>
    </row>
    <row r="8" spans="1:9">
      <c r="A8">
        <v>46213.45</v>
      </c>
      <c r="B8">
        <v>10616</v>
      </c>
      <c r="C8">
        <v>0.122</v>
      </c>
      <c r="D8">
        <v>22</v>
      </c>
      <c r="E8">
        <v>85.2</v>
      </c>
      <c r="F8">
        <v>0.2</v>
      </c>
      <c r="G8">
        <v>1</v>
      </c>
      <c r="H8">
        <v>4.0999999999999996</v>
      </c>
      <c r="I8">
        <v>806615.54</v>
      </c>
    </row>
    <row r="9" spans="1:9">
      <c r="A9">
        <v>68148.52</v>
      </c>
      <c r="B9">
        <v>8567</v>
      </c>
      <c r="C9">
        <v>0.127</v>
      </c>
      <c r="D9">
        <v>23</v>
      </c>
      <c r="E9">
        <v>95.6</v>
      </c>
      <c r="F9">
        <v>0.8</v>
      </c>
      <c r="G9">
        <v>0</v>
      </c>
      <c r="H9">
        <v>3.9</v>
      </c>
      <c r="I9">
        <v>850164.26</v>
      </c>
    </row>
    <row r="10" spans="1:9">
      <c r="A10">
        <v>71838.86</v>
      </c>
      <c r="B10">
        <v>10979</v>
      </c>
      <c r="C10">
        <v>0.215</v>
      </c>
      <c r="D10">
        <v>26</v>
      </c>
      <c r="E10">
        <v>88.6</v>
      </c>
      <c r="F10">
        <v>7.7</v>
      </c>
      <c r="G10">
        <v>1</v>
      </c>
      <c r="H10">
        <v>3.8</v>
      </c>
      <c r="I10">
        <v>930581.7</v>
      </c>
    </row>
    <row r="11" spans="1:9">
      <c r="A11">
        <v>68133.440000000002</v>
      </c>
      <c r="B11">
        <v>9459</v>
      </c>
      <c r="C11">
        <v>0.22</v>
      </c>
      <c r="D11">
        <v>21</v>
      </c>
      <c r="E11">
        <v>85</v>
      </c>
      <c r="F11">
        <v>1.91</v>
      </c>
      <c r="G11">
        <v>0</v>
      </c>
      <c r="H11">
        <v>4.2</v>
      </c>
      <c r="I11">
        <v>779010.94</v>
      </c>
    </row>
    <row r="12" spans="1:9">
      <c r="A12">
        <v>34285.21</v>
      </c>
      <c r="B12">
        <v>9172</v>
      </c>
      <c r="C12">
        <v>0.21299999999999999</v>
      </c>
      <c r="D12">
        <v>22</v>
      </c>
      <c r="E12">
        <v>88.3</v>
      </c>
      <c r="F12">
        <v>10.46</v>
      </c>
      <c r="G12">
        <v>1</v>
      </c>
      <c r="H12">
        <v>3.8</v>
      </c>
      <c r="I12">
        <v>723060.76</v>
      </c>
    </row>
    <row r="13" spans="1:9">
      <c r="A13">
        <v>67979.88</v>
      </c>
      <c r="B13">
        <v>11230</v>
      </c>
      <c r="C13">
        <v>2E-3</v>
      </c>
      <c r="D13">
        <v>28</v>
      </c>
      <c r="E13">
        <v>85.3</v>
      </c>
      <c r="F13">
        <v>7.16</v>
      </c>
      <c r="G13">
        <v>0</v>
      </c>
      <c r="H13">
        <v>3.8</v>
      </c>
      <c r="I13">
        <v>910791.94</v>
      </c>
    </row>
    <row r="14" spans="1:9">
      <c r="A14">
        <v>71828.259999999995</v>
      </c>
      <c r="B14">
        <v>12775</v>
      </c>
      <c r="C14">
        <v>0.11600000000000001</v>
      </c>
      <c r="D14">
        <v>30</v>
      </c>
      <c r="E14">
        <v>81.7</v>
      </c>
      <c r="F14">
        <v>4.24</v>
      </c>
      <c r="G14">
        <v>1</v>
      </c>
      <c r="H14">
        <v>4.2</v>
      </c>
      <c r="I14">
        <v>922168.6</v>
      </c>
    </row>
    <row r="15" spans="1:9">
      <c r="A15">
        <v>55716.82</v>
      </c>
      <c r="B15">
        <v>10054</v>
      </c>
      <c r="C15">
        <v>0.14599999999999999</v>
      </c>
      <c r="D15">
        <v>24</v>
      </c>
      <c r="E15">
        <v>84.9</v>
      </c>
      <c r="F15">
        <v>1.06</v>
      </c>
      <c r="G15">
        <v>0</v>
      </c>
      <c r="H15">
        <v>4.3</v>
      </c>
      <c r="I15">
        <v>726606.28</v>
      </c>
    </row>
    <row r="16" spans="1:9">
      <c r="A16">
        <v>59909.51</v>
      </c>
      <c r="B16">
        <v>8895</v>
      </c>
      <c r="C16">
        <v>0.22800000000000001</v>
      </c>
      <c r="D16">
        <v>23</v>
      </c>
      <c r="E16">
        <v>88.8</v>
      </c>
      <c r="F16">
        <v>0.27</v>
      </c>
      <c r="G16">
        <v>0</v>
      </c>
      <c r="H16">
        <v>4.3</v>
      </c>
      <c r="I16">
        <v>746501.09</v>
      </c>
    </row>
    <row r="17" spans="1:9">
      <c r="A17">
        <v>75305.710000000006</v>
      </c>
      <c r="B17">
        <v>10940</v>
      </c>
      <c r="C17">
        <v>6.0000000000000001E-3</v>
      </c>
      <c r="D17">
        <v>26</v>
      </c>
      <c r="E17">
        <v>76.5</v>
      </c>
      <c r="F17">
        <v>1.32</v>
      </c>
      <c r="G17">
        <v>0</v>
      </c>
      <c r="H17">
        <v>4.5</v>
      </c>
      <c r="I17">
        <v>834017.02</v>
      </c>
    </row>
    <row r="18" spans="1:9">
      <c r="A18">
        <v>48804.22</v>
      </c>
      <c r="B18">
        <v>7057</v>
      </c>
      <c r="C18">
        <v>5.0000000000000001E-3</v>
      </c>
      <c r="D18">
        <v>15</v>
      </c>
      <c r="E18">
        <v>87.7</v>
      </c>
      <c r="F18">
        <v>1.22</v>
      </c>
      <c r="G18">
        <v>0</v>
      </c>
      <c r="H18">
        <v>3.7</v>
      </c>
      <c r="I18">
        <v>666152.52</v>
      </c>
    </row>
    <row r="19" spans="1:9">
      <c r="A19">
        <v>59117.9</v>
      </c>
      <c r="B19">
        <v>4263</v>
      </c>
      <c r="C19">
        <v>0.11899999999999999</v>
      </c>
      <c r="D19">
        <v>9</v>
      </c>
      <c r="E19">
        <v>87.6</v>
      </c>
      <c r="F19">
        <v>4.01</v>
      </c>
      <c r="G19">
        <v>0</v>
      </c>
      <c r="H19">
        <v>3.6</v>
      </c>
      <c r="I19">
        <v>573155.18999999994</v>
      </c>
    </row>
    <row r="20" spans="1:9">
      <c r="A20">
        <v>78831.12</v>
      </c>
      <c r="B20">
        <v>5538</v>
      </c>
      <c r="C20">
        <v>0</v>
      </c>
      <c r="D20">
        <v>15</v>
      </c>
      <c r="E20">
        <v>94.1</v>
      </c>
      <c r="F20">
        <v>0.2</v>
      </c>
      <c r="G20">
        <v>0</v>
      </c>
      <c r="H20">
        <v>3.9</v>
      </c>
      <c r="I20">
        <v>666573.19999999995</v>
      </c>
    </row>
    <row r="21" spans="1:9">
      <c r="A21">
        <v>41441.93</v>
      </c>
      <c r="B21">
        <v>4865</v>
      </c>
      <c r="C21">
        <v>0.158</v>
      </c>
      <c r="D21">
        <v>16</v>
      </c>
      <c r="E21">
        <v>88.3</v>
      </c>
      <c r="F21">
        <v>0.5</v>
      </c>
      <c r="G21">
        <v>0</v>
      </c>
      <c r="H21">
        <v>4</v>
      </c>
      <c r="I21">
        <v>591619.94999999995</v>
      </c>
    </row>
    <row r="22" spans="1:9">
      <c r="A22">
        <v>30356.28</v>
      </c>
      <c r="B22">
        <v>2822</v>
      </c>
      <c r="C22">
        <v>0.23100000000000001</v>
      </c>
      <c r="D22">
        <v>9</v>
      </c>
      <c r="E22">
        <v>84.8</v>
      </c>
      <c r="F22">
        <v>6.95</v>
      </c>
      <c r="G22">
        <v>0</v>
      </c>
      <c r="H22">
        <v>5</v>
      </c>
      <c r="I22">
        <v>415721.82</v>
      </c>
    </row>
    <row r="23" spans="1:9">
      <c r="A23">
        <v>33518.879999999997</v>
      </c>
      <c r="B23">
        <v>2121</v>
      </c>
      <c r="C23">
        <v>0.17599999999999999</v>
      </c>
      <c r="D23">
        <v>8</v>
      </c>
      <c r="E23">
        <v>88.5</v>
      </c>
      <c r="F23">
        <v>0.2</v>
      </c>
      <c r="G23">
        <v>0</v>
      </c>
      <c r="H23">
        <v>5</v>
      </c>
      <c r="I23">
        <v>491905.13</v>
      </c>
    </row>
    <row r="24" spans="1:9">
      <c r="A24">
        <v>42267.37</v>
      </c>
      <c r="B24">
        <v>3364</v>
      </c>
      <c r="C24">
        <v>0.16</v>
      </c>
      <c r="D24">
        <v>13</v>
      </c>
      <c r="E24">
        <v>82</v>
      </c>
      <c r="F24">
        <v>1.61</v>
      </c>
      <c r="G24">
        <v>1</v>
      </c>
      <c r="H24">
        <v>4.5999999999999996</v>
      </c>
      <c r="I24">
        <v>555929.4</v>
      </c>
    </row>
    <row r="25" spans="1:9">
      <c r="A25">
        <v>62060.43</v>
      </c>
      <c r="B25">
        <v>2613</v>
      </c>
      <c r="C25">
        <v>0.216</v>
      </c>
      <c r="D25">
        <v>12</v>
      </c>
      <c r="E25">
        <v>92.1</v>
      </c>
      <c r="F25">
        <v>1.55</v>
      </c>
      <c r="G25">
        <v>0</v>
      </c>
      <c r="H25">
        <v>4.7</v>
      </c>
      <c r="I25">
        <v>565810.99</v>
      </c>
    </row>
    <row r="26" spans="1:9">
      <c r="A26">
        <v>57696.69</v>
      </c>
      <c r="B26">
        <v>10218</v>
      </c>
      <c r="C26">
        <v>0.121</v>
      </c>
      <c r="D26">
        <v>25</v>
      </c>
      <c r="E26">
        <v>94.8</v>
      </c>
      <c r="F26">
        <v>2.99</v>
      </c>
      <c r="G26">
        <v>0</v>
      </c>
      <c r="H26">
        <v>3.5</v>
      </c>
      <c r="I26">
        <v>811771.14</v>
      </c>
    </row>
    <row r="27" spans="1:9">
      <c r="A27">
        <v>172415.52</v>
      </c>
      <c r="B27">
        <v>8927</v>
      </c>
      <c r="C27">
        <v>0.14000000000000001</v>
      </c>
      <c r="D27">
        <v>22</v>
      </c>
      <c r="E27">
        <v>86.2</v>
      </c>
      <c r="F27">
        <v>7.04</v>
      </c>
      <c r="G27">
        <v>0</v>
      </c>
      <c r="H27">
        <v>3.9</v>
      </c>
      <c r="I27">
        <v>800451.94</v>
      </c>
    </row>
    <row r="28" spans="1:9">
      <c r="A28">
        <v>55270.52</v>
      </c>
      <c r="B28">
        <v>9315</v>
      </c>
      <c r="C28">
        <v>0.16900000000000001</v>
      </c>
      <c r="D28">
        <v>23</v>
      </c>
      <c r="E28">
        <v>91.9</v>
      </c>
      <c r="F28">
        <v>4.9400000000000004</v>
      </c>
      <c r="G28">
        <v>0</v>
      </c>
      <c r="H28">
        <v>4</v>
      </c>
      <c r="I28">
        <v>783672.82</v>
      </c>
    </row>
    <row r="29" spans="1:9">
      <c r="A29">
        <v>52715.1</v>
      </c>
      <c r="B29">
        <v>7223</v>
      </c>
      <c r="C29">
        <v>0.122</v>
      </c>
      <c r="D29">
        <v>16</v>
      </c>
      <c r="E29">
        <v>84.2</v>
      </c>
      <c r="F29">
        <v>16.149999999999999</v>
      </c>
      <c r="G29">
        <v>0</v>
      </c>
      <c r="H29">
        <v>3.7</v>
      </c>
      <c r="I29">
        <v>701641.97</v>
      </c>
    </row>
    <row r="30" spans="1:9">
      <c r="A30">
        <v>68600.62</v>
      </c>
      <c r="B30">
        <v>3988</v>
      </c>
      <c r="C30">
        <v>0.124</v>
      </c>
      <c r="D30">
        <v>11</v>
      </c>
      <c r="E30">
        <v>85</v>
      </c>
      <c r="F30">
        <v>0.48</v>
      </c>
      <c r="G30">
        <v>0</v>
      </c>
      <c r="H30">
        <v>3.6</v>
      </c>
      <c r="I30">
        <v>511844.41</v>
      </c>
    </row>
    <row r="31" spans="1:9">
      <c r="A31">
        <v>63176.73</v>
      </c>
      <c r="B31">
        <v>2390</v>
      </c>
      <c r="C31">
        <v>0.216</v>
      </c>
      <c r="D31">
        <v>9</v>
      </c>
      <c r="E31">
        <v>87.5</v>
      </c>
      <c r="F31">
        <v>0.31</v>
      </c>
      <c r="G31">
        <v>0</v>
      </c>
      <c r="H31">
        <v>3.1</v>
      </c>
      <c r="I31">
        <v>537383.79</v>
      </c>
    </row>
    <row r="32" spans="1:9">
      <c r="A32">
        <v>44970.080000000002</v>
      </c>
      <c r="B32">
        <v>2471</v>
      </c>
      <c r="C32">
        <v>0.13600000000000001</v>
      </c>
      <c r="D32">
        <v>11</v>
      </c>
      <c r="E32">
        <v>87.6</v>
      </c>
      <c r="F32">
        <v>3.01</v>
      </c>
      <c r="G32">
        <v>1</v>
      </c>
      <c r="H32">
        <v>3.7</v>
      </c>
      <c r="I32">
        <v>500173.02</v>
      </c>
    </row>
    <row r="33" spans="1:9">
      <c r="A33">
        <v>69816.350000000006</v>
      </c>
      <c r="B33">
        <v>971</v>
      </c>
      <c r="C33">
        <v>0.16800000000000001</v>
      </c>
      <c r="D33">
        <v>5</v>
      </c>
      <c r="E33">
        <v>89.9</v>
      </c>
      <c r="F33">
        <v>12.15</v>
      </c>
      <c r="G33">
        <v>0</v>
      </c>
      <c r="H33">
        <v>3.6</v>
      </c>
      <c r="I33">
        <v>427917.38</v>
      </c>
    </row>
    <row r="34" spans="1:9">
      <c r="A34">
        <v>54597.83</v>
      </c>
      <c r="B34">
        <v>9429</v>
      </c>
      <c r="C34">
        <v>0.188</v>
      </c>
      <c r="D34">
        <v>21</v>
      </c>
      <c r="E34">
        <v>83.3</v>
      </c>
      <c r="F34">
        <v>11.71</v>
      </c>
      <c r="G34">
        <v>0</v>
      </c>
      <c r="H34">
        <v>4.2</v>
      </c>
      <c r="I34">
        <v>641865.03</v>
      </c>
    </row>
    <row r="35" spans="1:9">
      <c r="A35">
        <v>73771.91</v>
      </c>
      <c r="B35">
        <v>11695</v>
      </c>
      <c r="C35">
        <v>7.0000000000000007E-2</v>
      </c>
      <c r="D35">
        <v>25</v>
      </c>
      <c r="E35">
        <v>84.7</v>
      </c>
      <c r="F35">
        <v>0.62</v>
      </c>
      <c r="G35">
        <v>0</v>
      </c>
      <c r="H35">
        <f>3.924</f>
        <v>3.9239999999999999</v>
      </c>
      <c r="I35">
        <v>799477.76000000001</v>
      </c>
    </row>
    <row r="36" spans="1:9">
      <c r="A36">
        <v>74413.88</v>
      </c>
      <c r="B36">
        <v>9449</v>
      </c>
      <c r="C36">
        <v>3.9E-2</v>
      </c>
      <c r="D36">
        <v>23</v>
      </c>
      <c r="E36">
        <v>92.1</v>
      </c>
      <c r="F36">
        <v>2.12</v>
      </c>
      <c r="G36">
        <v>0</v>
      </c>
      <c r="H36">
        <v>3.5</v>
      </c>
      <c r="I36">
        <v>798952.17</v>
      </c>
    </row>
    <row r="37" spans="1:9">
      <c r="A37">
        <v>52483.77</v>
      </c>
      <c r="B37">
        <v>10453</v>
      </c>
      <c r="C37">
        <v>0.247</v>
      </c>
      <c r="D37">
        <v>25</v>
      </c>
      <c r="E37">
        <v>99</v>
      </c>
      <c r="F37">
        <v>6.31</v>
      </c>
      <c r="G37">
        <v>0</v>
      </c>
      <c r="H37">
        <v>3.6</v>
      </c>
      <c r="I37">
        <v>800979.78</v>
      </c>
    </row>
    <row r="38" spans="1:9">
      <c r="A38">
        <v>75269.87</v>
      </c>
      <c r="B38">
        <v>8838</v>
      </c>
      <c r="C38">
        <v>9.1999999999999998E-2</v>
      </c>
      <c r="D38">
        <v>21</v>
      </c>
      <c r="E38">
        <v>83.1</v>
      </c>
      <c r="F38">
        <v>9.56</v>
      </c>
      <c r="G38">
        <v>1</v>
      </c>
      <c r="H38">
        <v>4.2</v>
      </c>
      <c r="I38">
        <v>820593.93</v>
      </c>
    </row>
    <row r="39" spans="1:9">
      <c r="A39">
        <v>61245.41</v>
      </c>
      <c r="B39">
        <v>8156</v>
      </c>
      <c r="C39">
        <v>0.156</v>
      </c>
      <c r="D39">
        <v>19</v>
      </c>
      <c r="E39">
        <v>92.9</v>
      </c>
      <c r="F39">
        <v>9.0500000000000007</v>
      </c>
      <c r="G39">
        <v>0</v>
      </c>
      <c r="H39">
        <v>3.8</v>
      </c>
      <c r="I39">
        <v>718330.53</v>
      </c>
    </row>
    <row r="40" spans="1:9">
      <c r="A40">
        <v>93381.26</v>
      </c>
      <c r="B40">
        <v>7562</v>
      </c>
      <c r="C40">
        <v>0.19800000000000001</v>
      </c>
      <c r="D40">
        <v>19</v>
      </c>
      <c r="E40">
        <v>82.9</v>
      </c>
      <c r="F40">
        <v>5.05</v>
      </c>
      <c r="G40">
        <v>0</v>
      </c>
      <c r="H40">
        <v>4</v>
      </c>
      <c r="I40">
        <v>736633.4</v>
      </c>
    </row>
    <row r="41" spans="1:9">
      <c r="A41">
        <v>65012.19</v>
      </c>
      <c r="B41">
        <v>9598</v>
      </c>
      <c r="C41">
        <v>8.5000000000000006E-2</v>
      </c>
      <c r="D41">
        <v>24</v>
      </c>
      <c r="E41">
        <v>98.3</v>
      </c>
      <c r="F41">
        <v>0.89</v>
      </c>
      <c r="G41">
        <v>0</v>
      </c>
      <c r="H41">
        <v>3.8</v>
      </c>
      <c r="I41">
        <v>828623.85</v>
      </c>
    </row>
    <row r="42" spans="1:9">
      <c r="A42">
        <v>40462.94</v>
      </c>
      <c r="B42">
        <v>3660</v>
      </c>
      <c r="C42">
        <v>0.218</v>
      </c>
      <c r="D42">
        <v>11</v>
      </c>
      <c r="E42">
        <v>95.2</v>
      </c>
      <c r="F42">
        <v>5.57</v>
      </c>
      <c r="G42">
        <v>0</v>
      </c>
      <c r="H42">
        <v>4.4000000000000004</v>
      </c>
      <c r="I42">
        <v>592195.85</v>
      </c>
    </row>
    <row r="43" spans="1:9">
      <c r="A43">
        <v>46123.88</v>
      </c>
      <c r="B43">
        <v>3227</v>
      </c>
      <c r="C43">
        <v>0.14299999999999999</v>
      </c>
      <c r="D43">
        <v>10</v>
      </c>
      <c r="E43">
        <v>75.400000000000006</v>
      </c>
      <c r="F43">
        <v>1.06</v>
      </c>
      <c r="G43">
        <v>0</v>
      </c>
      <c r="H43">
        <v>4.4000000000000004</v>
      </c>
      <c r="I43">
        <v>532644.46</v>
      </c>
    </row>
    <row r="44" spans="1:9">
      <c r="A44">
        <v>68077.539999999994</v>
      </c>
      <c r="B44">
        <v>3360</v>
      </c>
      <c r="C44">
        <v>0.128</v>
      </c>
      <c r="D44">
        <v>14</v>
      </c>
      <c r="E44">
        <v>88.2</v>
      </c>
      <c r="F44">
        <v>1.24</v>
      </c>
      <c r="G44">
        <v>1</v>
      </c>
      <c r="H44">
        <v>4</v>
      </c>
      <c r="I44">
        <v>657429.18000000005</v>
      </c>
    </row>
    <row r="45" spans="1:9">
      <c r="A45">
        <v>64882.14</v>
      </c>
      <c r="B45">
        <v>3642</v>
      </c>
      <c r="C45">
        <v>1.9E-2</v>
      </c>
      <c r="D45">
        <v>13</v>
      </c>
      <c r="E45">
        <v>87.8</v>
      </c>
      <c r="F45">
        <v>4.5199999999999996</v>
      </c>
      <c r="G45">
        <v>0</v>
      </c>
      <c r="H45">
        <v>4.2</v>
      </c>
      <c r="I45">
        <v>605178</v>
      </c>
    </row>
    <row r="46" spans="1:9">
      <c r="A46">
        <v>138855.51</v>
      </c>
      <c r="B46">
        <v>5145</v>
      </c>
      <c r="C46">
        <v>0.06</v>
      </c>
      <c r="D46">
        <v>17</v>
      </c>
      <c r="E46">
        <v>88.2</v>
      </c>
      <c r="F46">
        <v>9.58</v>
      </c>
      <c r="G46">
        <v>0</v>
      </c>
      <c r="H46">
        <v>3.2</v>
      </c>
      <c r="I46">
        <v>595467.6</v>
      </c>
    </row>
    <row r="47" spans="1:9">
      <c r="A47">
        <v>63630.21</v>
      </c>
      <c r="B47">
        <v>4460</v>
      </c>
      <c r="C47">
        <v>0.23499999999999999</v>
      </c>
      <c r="D47">
        <v>14</v>
      </c>
      <c r="E47">
        <v>98.6</v>
      </c>
      <c r="F47">
        <v>5.52</v>
      </c>
      <c r="G47">
        <v>0</v>
      </c>
      <c r="H47">
        <v>3.5</v>
      </c>
      <c r="I47">
        <v>599603.4</v>
      </c>
    </row>
    <row r="48" spans="1:9">
      <c r="A48">
        <v>50043.65</v>
      </c>
      <c r="B48">
        <v>3804</v>
      </c>
      <c r="C48">
        <v>0.113</v>
      </c>
      <c r="D48">
        <v>11</v>
      </c>
      <c r="E48">
        <v>90.9</v>
      </c>
      <c r="F48">
        <v>2.7</v>
      </c>
      <c r="G48">
        <v>1</v>
      </c>
      <c r="H48">
        <v>3.2</v>
      </c>
      <c r="I48">
        <v>614800.09</v>
      </c>
    </row>
    <row r="49" spans="1:9">
      <c r="A49">
        <v>42093.84</v>
      </c>
      <c r="B49">
        <v>4074</v>
      </c>
      <c r="C49">
        <v>0.155</v>
      </c>
      <c r="D49">
        <v>15</v>
      </c>
      <c r="E49">
        <v>88</v>
      </c>
      <c r="F49">
        <v>9.64</v>
      </c>
      <c r="G49">
        <v>0</v>
      </c>
      <c r="H49">
        <v>3.3</v>
      </c>
      <c r="I49">
        <v>585365.73</v>
      </c>
    </row>
    <row r="50" spans="1:9">
      <c r="A50">
        <v>46624.05</v>
      </c>
      <c r="B50">
        <v>5104</v>
      </c>
      <c r="C50">
        <v>0.109</v>
      </c>
      <c r="D50">
        <v>11</v>
      </c>
      <c r="E50">
        <v>97.3</v>
      </c>
      <c r="F50">
        <v>3.49</v>
      </c>
      <c r="G50">
        <v>1</v>
      </c>
      <c r="H50">
        <v>4.7</v>
      </c>
      <c r="I50">
        <v>622811.74</v>
      </c>
    </row>
    <row r="51" spans="1:9">
      <c r="A51">
        <v>49710.29</v>
      </c>
      <c r="B51">
        <v>5559</v>
      </c>
      <c r="C51">
        <v>0.218</v>
      </c>
      <c r="D51">
        <v>14</v>
      </c>
      <c r="E51">
        <v>71</v>
      </c>
      <c r="F51">
        <v>9.11</v>
      </c>
      <c r="G51">
        <v>0</v>
      </c>
      <c r="H51">
        <v>4.5999999999999996</v>
      </c>
      <c r="I51">
        <v>603297.56999999995</v>
      </c>
    </row>
    <row r="52" spans="1:9">
      <c r="A52">
        <v>48287.85</v>
      </c>
      <c r="B52">
        <v>5150</v>
      </c>
      <c r="C52">
        <v>8.0000000000000002E-3</v>
      </c>
      <c r="D52">
        <v>12</v>
      </c>
      <c r="E52">
        <v>80.400000000000006</v>
      </c>
      <c r="F52">
        <v>7.4</v>
      </c>
      <c r="G52">
        <v>0</v>
      </c>
      <c r="H52">
        <v>4.5</v>
      </c>
      <c r="I52">
        <v>625672.86</v>
      </c>
    </row>
    <row r="53" spans="1:9">
      <c r="A53">
        <v>65312.49</v>
      </c>
      <c r="B53">
        <v>7189</v>
      </c>
      <c r="C53">
        <v>0.05</v>
      </c>
      <c r="D53">
        <v>19</v>
      </c>
      <c r="E53">
        <v>93.7</v>
      </c>
      <c r="F53">
        <v>7.16</v>
      </c>
      <c r="G53">
        <v>0</v>
      </c>
      <c r="H53">
        <v>4.5999999999999996</v>
      </c>
      <c r="I53">
        <v>773815.14</v>
      </c>
    </row>
    <row r="54" spans="1:9">
      <c r="A54">
        <v>53015.46</v>
      </c>
      <c r="B54">
        <v>3279</v>
      </c>
      <c r="C54">
        <v>8.6999999999999994E-2</v>
      </c>
      <c r="D54">
        <v>9</v>
      </c>
      <c r="E54">
        <v>84.3</v>
      </c>
      <c r="F54">
        <v>22.02</v>
      </c>
      <c r="G54">
        <v>0</v>
      </c>
      <c r="H54">
        <v>3.9</v>
      </c>
      <c r="I54">
        <v>463534.25</v>
      </c>
    </row>
    <row r="55" spans="1:9">
      <c r="A55">
        <v>99874.01</v>
      </c>
      <c r="B55">
        <v>5887</v>
      </c>
      <c r="C55">
        <v>0.26200000000000001</v>
      </c>
      <c r="D55">
        <v>14</v>
      </c>
      <c r="E55">
        <v>88.7</v>
      </c>
      <c r="F55">
        <v>6.18</v>
      </c>
      <c r="G55">
        <v>0</v>
      </c>
      <c r="H55">
        <v>4.7</v>
      </c>
      <c r="I55">
        <v>746677.75</v>
      </c>
    </row>
    <row r="56" spans="1:9">
      <c r="A56">
        <v>81195.5</v>
      </c>
      <c r="B56">
        <v>5516</v>
      </c>
      <c r="C56">
        <v>0.106</v>
      </c>
      <c r="D56">
        <v>14</v>
      </c>
      <c r="E56">
        <v>88</v>
      </c>
      <c r="F56">
        <v>1.76</v>
      </c>
      <c r="G56">
        <v>0</v>
      </c>
      <c r="H56">
        <v>4.3</v>
      </c>
      <c r="I56">
        <v>720852.5</v>
      </c>
    </row>
    <row r="57" spans="1:9">
      <c r="A57">
        <v>27808.6</v>
      </c>
      <c r="B57">
        <v>2863</v>
      </c>
      <c r="C57">
        <v>0.08</v>
      </c>
      <c r="D57">
        <v>13</v>
      </c>
      <c r="E57">
        <v>89.3</v>
      </c>
      <c r="F57">
        <v>0.47</v>
      </c>
      <c r="G57">
        <v>0</v>
      </c>
      <c r="H57">
        <v>4.0999999999999996</v>
      </c>
      <c r="I57">
        <v>487464.91</v>
      </c>
    </row>
    <row r="58" spans="1:9">
      <c r="A58">
        <v>19365.060000000001</v>
      </c>
      <c r="B58">
        <v>2378</v>
      </c>
      <c r="C58">
        <v>0</v>
      </c>
      <c r="D58">
        <v>12</v>
      </c>
      <c r="E58">
        <v>94.8</v>
      </c>
      <c r="F58">
        <v>0.2</v>
      </c>
      <c r="G58">
        <v>0</v>
      </c>
      <c r="H58">
        <v>3.5</v>
      </c>
      <c r="I58">
        <v>518049.26</v>
      </c>
    </row>
    <row r="59" spans="1:9">
      <c r="A59">
        <v>59405.68</v>
      </c>
      <c r="B59">
        <v>2515</v>
      </c>
      <c r="C59">
        <v>3.9E-2</v>
      </c>
      <c r="D59">
        <v>12</v>
      </c>
      <c r="E59">
        <v>76</v>
      </c>
      <c r="F59">
        <v>5.1100000000000003</v>
      </c>
      <c r="G59">
        <v>0</v>
      </c>
      <c r="H59">
        <v>3.7</v>
      </c>
      <c r="I59">
        <v>500298.48</v>
      </c>
    </row>
    <row r="60" spans="1:9">
      <c r="A60">
        <v>118910.48</v>
      </c>
      <c r="B60">
        <v>4022</v>
      </c>
      <c r="C60">
        <v>0.13700000000000001</v>
      </c>
      <c r="D60">
        <v>11</v>
      </c>
      <c r="E60">
        <v>87.1</v>
      </c>
      <c r="F60">
        <v>0.2</v>
      </c>
      <c r="G60">
        <v>0</v>
      </c>
      <c r="H60">
        <v>3.1</v>
      </c>
      <c r="I60">
        <v>617291.15</v>
      </c>
    </row>
    <row r="61" spans="1:9">
      <c r="A61">
        <v>52952.12</v>
      </c>
      <c r="B61">
        <v>4377</v>
      </c>
      <c r="C61">
        <v>9.1999999999999998E-2</v>
      </c>
      <c r="D61">
        <v>14</v>
      </c>
      <c r="E61">
        <v>88.6</v>
      </c>
      <c r="F61">
        <v>13.59</v>
      </c>
      <c r="G61">
        <v>0</v>
      </c>
      <c r="H61">
        <v>3.1</v>
      </c>
      <c r="I61">
        <v>553756.43000000005</v>
      </c>
    </row>
    <row r="62" spans="1:9">
      <c r="A62">
        <v>74907.98</v>
      </c>
      <c r="B62">
        <v>5306</v>
      </c>
      <c r="C62">
        <v>6.2E-2</v>
      </c>
      <c r="D62">
        <v>16</v>
      </c>
      <c r="E62">
        <v>95.6</v>
      </c>
      <c r="F62">
        <v>1.02</v>
      </c>
      <c r="G62">
        <v>0</v>
      </c>
      <c r="H62">
        <v>3.7</v>
      </c>
      <c r="I62">
        <v>749559.71</v>
      </c>
    </row>
    <row r="63" spans="1:9">
      <c r="A63">
        <v>37284.660000000003</v>
      </c>
      <c r="B63">
        <v>3928</v>
      </c>
      <c r="C63">
        <v>7.3999999999999996E-2</v>
      </c>
      <c r="D63">
        <v>12</v>
      </c>
      <c r="E63">
        <v>86.5</v>
      </c>
      <c r="F63">
        <v>1.64</v>
      </c>
      <c r="G63">
        <v>0</v>
      </c>
      <c r="H63">
        <v>3.8</v>
      </c>
      <c r="I63">
        <v>615966.48</v>
      </c>
    </row>
    <row r="64" spans="1:9">
      <c r="A64">
        <v>50343.19</v>
      </c>
      <c r="B64">
        <v>3845</v>
      </c>
      <c r="C64">
        <v>0.113</v>
      </c>
      <c r="D64">
        <v>9</v>
      </c>
      <c r="E64">
        <v>88.7</v>
      </c>
      <c r="F64">
        <v>5.15</v>
      </c>
      <c r="G64">
        <v>0</v>
      </c>
      <c r="H64">
        <v>3.3</v>
      </c>
      <c r="I64">
        <v>572011.19999999995</v>
      </c>
    </row>
    <row r="65" spans="1:9">
      <c r="A65">
        <v>74954.47</v>
      </c>
      <c r="B65">
        <v>6620</v>
      </c>
      <c r="C65">
        <v>5.3999999999999999E-2</v>
      </c>
      <c r="D65">
        <v>17</v>
      </c>
      <c r="E65">
        <v>91.1</v>
      </c>
      <c r="F65">
        <v>1.1100000000000001</v>
      </c>
      <c r="G65">
        <v>0</v>
      </c>
      <c r="H65">
        <v>3.5</v>
      </c>
      <c r="I65">
        <v>761860.19</v>
      </c>
    </row>
    <row r="66" spans="1:9">
      <c r="A66">
        <v>70040.31</v>
      </c>
      <c r="B66">
        <v>9175</v>
      </c>
      <c r="C66">
        <v>0.107</v>
      </c>
      <c r="D66">
        <v>23</v>
      </c>
      <c r="E66">
        <v>95.1</v>
      </c>
      <c r="F66">
        <v>6.08</v>
      </c>
      <c r="G66">
        <v>1</v>
      </c>
      <c r="H66">
        <v>3.4</v>
      </c>
      <c r="I66">
        <v>784502.68</v>
      </c>
    </row>
    <row r="67" spans="1:9">
      <c r="A67">
        <v>51148.69</v>
      </c>
      <c r="B67">
        <v>7940</v>
      </c>
      <c r="C67">
        <v>0.156</v>
      </c>
      <c r="D67">
        <v>18</v>
      </c>
      <c r="E67">
        <v>93.3</v>
      </c>
      <c r="F67">
        <v>10.91</v>
      </c>
      <c r="G67">
        <v>0</v>
      </c>
      <c r="H67">
        <v>3.6</v>
      </c>
      <c r="I67">
        <v>717141.55</v>
      </c>
    </row>
    <row r="68" spans="1:9">
      <c r="A68">
        <v>79346.100000000006</v>
      </c>
      <c r="B68">
        <v>9628</v>
      </c>
      <c r="C68">
        <v>0.10199999999999999</v>
      </c>
      <c r="D68">
        <v>20</v>
      </c>
      <c r="E68">
        <v>99</v>
      </c>
      <c r="F68">
        <v>19.010000000000002</v>
      </c>
      <c r="G68">
        <v>1</v>
      </c>
      <c r="H68">
        <v>3.2</v>
      </c>
      <c r="I68">
        <v>685379.08</v>
      </c>
    </row>
    <row r="69" spans="1:9">
      <c r="A69">
        <v>42018.400000000001</v>
      </c>
      <c r="B69">
        <v>8296</v>
      </c>
      <c r="C69">
        <v>0.115</v>
      </c>
      <c r="D69">
        <v>17</v>
      </c>
      <c r="E69">
        <v>91.8</v>
      </c>
      <c r="F69">
        <v>0.77</v>
      </c>
      <c r="G69">
        <v>0</v>
      </c>
      <c r="H69">
        <v>3.4</v>
      </c>
      <c r="I69">
        <v>740496.65</v>
      </c>
    </row>
    <row r="70" spans="1:9">
      <c r="A70">
        <v>70937.240000000005</v>
      </c>
      <c r="B70">
        <v>3595</v>
      </c>
      <c r="C70">
        <v>0.14099999999999999</v>
      </c>
      <c r="D70">
        <v>11</v>
      </c>
      <c r="E70">
        <v>88.9</v>
      </c>
      <c r="F70">
        <v>2.83</v>
      </c>
      <c r="G70">
        <v>1</v>
      </c>
      <c r="H70">
        <v>3.3</v>
      </c>
      <c r="I70">
        <v>661927.14</v>
      </c>
    </row>
    <row r="71" spans="1:9">
      <c r="A71">
        <v>36813.449999999997</v>
      </c>
      <c r="B71">
        <v>2834</v>
      </c>
      <c r="C71">
        <v>0.191</v>
      </c>
      <c r="D71">
        <v>11</v>
      </c>
      <c r="E71">
        <v>81.8</v>
      </c>
      <c r="F71">
        <v>2.33</v>
      </c>
      <c r="G71">
        <v>0</v>
      </c>
      <c r="H71">
        <v>3.3</v>
      </c>
      <c r="I71">
        <v>479050.5</v>
      </c>
    </row>
    <row r="72" spans="1:9">
      <c r="A72">
        <v>60571.82</v>
      </c>
      <c r="B72">
        <v>3193</v>
      </c>
      <c r="C72">
        <v>0.19700000000000001</v>
      </c>
      <c r="D72">
        <v>7</v>
      </c>
      <c r="E72">
        <v>99</v>
      </c>
      <c r="F72">
        <v>1.43</v>
      </c>
      <c r="G72">
        <v>0</v>
      </c>
      <c r="H72">
        <v>3.2</v>
      </c>
      <c r="I72">
        <v>605023.87</v>
      </c>
    </row>
    <row r="73" spans="1:9">
      <c r="A73">
        <v>55081.16</v>
      </c>
      <c r="B73">
        <v>5485</v>
      </c>
      <c r="C73">
        <v>3.5999999999999997E-2</v>
      </c>
      <c r="D73">
        <v>12</v>
      </c>
      <c r="E73">
        <v>88</v>
      </c>
      <c r="F73" s="4">
        <f>4.559045</f>
        <v>4.5590450000000002</v>
      </c>
      <c r="G73">
        <v>0</v>
      </c>
      <c r="H73">
        <v>3.5</v>
      </c>
      <c r="I73">
        <v>674774.09</v>
      </c>
    </row>
    <row r="74" spans="1:9">
      <c r="A74">
        <v>46201.46</v>
      </c>
      <c r="B74">
        <v>5918</v>
      </c>
      <c r="C74">
        <v>0.27700000000000002</v>
      </c>
      <c r="D74">
        <v>13</v>
      </c>
      <c r="E74">
        <v>78.8</v>
      </c>
      <c r="F74">
        <v>4.91</v>
      </c>
      <c r="G74">
        <v>0</v>
      </c>
      <c r="H74">
        <v>4.5</v>
      </c>
      <c r="I74">
        <v>616069.41</v>
      </c>
    </row>
    <row r="75" spans="1:9">
      <c r="A75">
        <v>53762.92</v>
      </c>
      <c r="B75">
        <v>6821</v>
      </c>
      <c r="C75">
        <v>6.6000000000000003E-2</v>
      </c>
      <c r="D75">
        <v>19</v>
      </c>
      <c r="E75">
        <v>94.6</v>
      </c>
      <c r="F75">
        <v>7.03</v>
      </c>
      <c r="G75">
        <v>0</v>
      </c>
      <c r="H75">
        <v>4.4000000000000004</v>
      </c>
      <c r="I75">
        <v>630829.93999999994</v>
      </c>
    </row>
    <row r="76" spans="1:9">
      <c r="A76">
        <v>70144.78</v>
      </c>
      <c r="B76">
        <v>6806</v>
      </c>
      <c r="C76">
        <v>0.17799999999999999</v>
      </c>
      <c r="D76">
        <v>20</v>
      </c>
      <c r="E76">
        <v>93.1</v>
      </c>
      <c r="F76">
        <v>0.28000000000000003</v>
      </c>
      <c r="G76">
        <v>1</v>
      </c>
      <c r="H76">
        <v>4.3</v>
      </c>
      <c r="I76">
        <v>788087.68</v>
      </c>
    </row>
    <row r="77" spans="1:9">
      <c r="A77">
        <v>58749.63</v>
      </c>
      <c r="B77">
        <v>8252</v>
      </c>
      <c r="C77">
        <v>0.20300000000000001</v>
      </c>
      <c r="D77">
        <v>20</v>
      </c>
      <c r="E77">
        <v>85.2</v>
      </c>
      <c r="F77">
        <v>3.61</v>
      </c>
      <c r="G77">
        <v>0</v>
      </c>
      <c r="H77">
        <v>4.5</v>
      </c>
      <c r="I77">
        <v>680840.36</v>
      </c>
    </row>
    <row r="78" spans="1:9">
      <c r="A78">
        <v>56973.18</v>
      </c>
      <c r="B78">
        <v>6662</v>
      </c>
      <c r="C78">
        <v>0.1</v>
      </c>
      <c r="D78">
        <v>15</v>
      </c>
      <c r="E78">
        <v>77.7</v>
      </c>
      <c r="F78">
        <v>7.52</v>
      </c>
      <c r="G78">
        <v>1</v>
      </c>
      <c r="H78">
        <v>3.2</v>
      </c>
      <c r="I78">
        <v>643657.47</v>
      </c>
    </row>
    <row r="79" spans="1:9">
      <c r="A79">
        <v>54872.82</v>
      </c>
      <c r="B79">
        <v>5962</v>
      </c>
      <c r="C79">
        <v>6.4000000000000001E-2</v>
      </c>
      <c r="D79">
        <v>12</v>
      </c>
      <c r="E79">
        <v>85.4</v>
      </c>
      <c r="F79">
        <v>2.58</v>
      </c>
      <c r="G79">
        <v>0</v>
      </c>
      <c r="H79">
        <v>2.9</v>
      </c>
      <c r="I79">
        <v>691112.6</v>
      </c>
    </row>
    <row r="80" spans="1:9">
      <c r="A80">
        <v>80562.81</v>
      </c>
      <c r="B80">
        <v>7470</v>
      </c>
      <c r="C80">
        <v>0.17199999999999999</v>
      </c>
      <c r="D80">
        <v>16</v>
      </c>
      <c r="E80">
        <v>83.5</v>
      </c>
      <c r="F80">
        <v>2.29</v>
      </c>
      <c r="G80">
        <v>0</v>
      </c>
      <c r="H80">
        <v>3.3</v>
      </c>
      <c r="I80">
        <v>776922.17</v>
      </c>
    </row>
    <row r="81" spans="1:9">
      <c r="A81">
        <v>77999.899999999994</v>
      </c>
      <c r="B81">
        <v>5974</v>
      </c>
      <c r="C81">
        <v>0.252</v>
      </c>
      <c r="D81">
        <v>14</v>
      </c>
      <c r="E81">
        <v>81.3</v>
      </c>
      <c r="F81">
        <v>2.39</v>
      </c>
      <c r="G81">
        <v>0</v>
      </c>
      <c r="H81">
        <v>3.2</v>
      </c>
      <c r="I81">
        <v>636561.34</v>
      </c>
    </row>
    <row r="82" spans="1:9">
      <c r="A82">
        <v>60881.01</v>
      </c>
      <c r="B82">
        <v>5410</v>
      </c>
      <c r="C82">
        <v>0.17899999999999999</v>
      </c>
      <c r="D82">
        <v>15</v>
      </c>
      <c r="E82">
        <v>83.9</v>
      </c>
      <c r="F82">
        <v>5.24</v>
      </c>
      <c r="G82">
        <v>0</v>
      </c>
      <c r="H82">
        <v>4.5999999999999996</v>
      </c>
      <c r="I82">
        <v>621369.57999999996</v>
      </c>
    </row>
    <row r="83" spans="1:9">
      <c r="A83">
        <v>60628.38</v>
      </c>
      <c r="B83">
        <v>4451</v>
      </c>
      <c r="C83">
        <v>9.5000000000000001E-2</v>
      </c>
      <c r="D83">
        <v>10</v>
      </c>
      <c r="E83">
        <v>89.6</v>
      </c>
      <c r="F83">
        <v>3.17</v>
      </c>
      <c r="G83">
        <v>0</v>
      </c>
      <c r="H83">
        <v>4.5999999999999996</v>
      </c>
      <c r="I83">
        <v>682208.01</v>
      </c>
    </row>
    <row r="84" spans="1:9">
      <c r="A84">
        <v>72731.14</v>
      </c>
      <c r="B84">
        <v>4644</v>
      </c>
      <c r="C84">
        <v>8.4000000000000005E-2</v>
      </c>
      <c r="D84">
        <v>15</v>
      </c>
      <c r="E84">
        <v>87.1</v>
      </c>
      <c r="F84">
        <v>2.66</v>
      </c>
      <c r="G84">
        <v>0</v>
      </c>
      <c r="H84">
        <v>4.5999999999999996</v>
      </c>
      <c r="I84">
        <v>727241.86</v>
      </c>
    </row>
    <row r="85" spans="1:9">
      <c r="A85">
        <v>36475.71</v>
      </c>
      <c r="B85">
        <v>3559</v>
      </c>
      <c r="C85">
        <v>0.03</v>
      </c>
      <c r="D85">
        <v>8</v>
      </c>
      <c r="E85">
        <v>83.6</v>
      </c>
      <c r="F85">
        <v>1.41</v>
      </c>
      <c r="G85">
        <v>0</v>
      </c>
      <c r="H85">
        <v>4.2</v>
      </c>
      <c r="I85">
        <v>569100.78</v>
      </c>
    </row>
    <row r="86" spans="1:9">
      <c r="A86">
        <v>55388.11</v>
      </c>
      <c r="B86">
        <v>3091</v>
      </c>
      <c r="C86">
        <v>0.108</v>
      </c>
      <c r="D86">
        <v>7</v>
      </c>
      <c r="E86">
        <v>85.4</v>
      </c>
      <c r="F86">
        <v>7.34</v>
      </c>
      <c r="G86">
        <v>0</v>
      </c>
      <c r="H86">
        <v>4.9000000000000004</v>
      </c>
      <c r="I86">
        <v>574436.29</v>
      </c>
    </row>
    <row r="87" spans="1:9">
      <c r="A87">
        <v>88443.77</v>
      </c>
      <c r="B87">
        <v>4004</v>
      </c>
      <c r="C87">
        <v>0.20599999999999999</v>
      </c>
      <c r="D87">
        <v>11</v>
      </c>
      <c r="E87">
        <v>91.9</v>
      </c>
      <c r="F87">
        <v>5.95</v>
      </c>
      <c r="G87">
        <v>0</v>
      </c>
      <c r="H87">
        <f>3.924</f>
        <v>3.9239999999999999</v>
      </c>
      <c r="I87">
        <v>611766.72</v>
      </c>
    </row>
    <row r="88" spans="1:9">
      <c r="A88">
        <v>78231.91</v>
      </c>
      <c r="B88">
        <v>3788</v>
      </c>
      <c r="C88">
        <v>5.8999999999999997E-2</v>
      </c>
      <c r="D88">
        <v>11</v>
      </c>
      <c r="E88">
        <v>88.5</v>
      </c>
      <c r="F88">
        <v>15.51</v>
      </c>
      <c r="G88">
        <v>0</v>
      </c>
      <c r="H88">
        <v>4.3</v>
      </c>
      <c r="I88">
        <v>614596.31999999995</v>
      </c>
    </row>
    <row r="89" spans="1:9">
      <c r="A89">
        <v>18996.32</v>
      </c>
      <c r="B89">
        <v>1260</v>
      </c>
      <c r="C89">
        <v>0.14499999999999999</v>
      </c>
      <c r="D89">
        <v>9</v>
      </c>
      <c r="E89">
        <v>86.4</v>
      </c>
      <c r="F89">
        <v>4.3099999999999996</v>
      </c>
      <c r="G89">
        <v>0</v>
      </c>
      <c r="H89">
        <v>4.5999999999999996</v>
      </c>
      <c r="I89">
        <v>450711.92</v>
      </c>
    </row>
    <row r="90" spans="1:9">
      <c r="A90">
        <v>50517.94</v>
      </c>
      <c r="B90">
        <v>7024</v>
      </c>
      <c r="C90">
        <v>2.9000000000000001E-2</v>
      </c>
      <c r="D90">
        <v>18</v>
      </c>
      <c r="E90">
        <v>79.2</v>
      </c>
      <c r="F90">
        <v>6.61</v>
      </c>
      <c r="G90">
        <v>1</v>
      </c>
      <c r="H90">
        <v>4.0999999999999996</v>
      </c>
      <c r="I90">
        <v>711213.46</v>
      </c>
    </row>
    <row r="91" spans="1:9">
      <c r="A91">
        <v>141540.29</v>
      </c>
      <c r="B91">
        <v>5400</v>
      </c>
      <c r="C91">
        <v>1.2999999999999999E-2</v>
      </c>
      <c r="D91">
        <v>12</v>
      </c>
      <c r="E91">
        <v>87</v>
      </c>
      <c r="F91">
        <v>4.26</v>
      </c>
      <c r="G91">
        <v>0</v>
      </c>
      <c r="H91">
        <v>4.5</v>
      </c>
      <c r="I91">
        <v>627171.9</v>
      </c>
    </row>
    <row r="92" spans="1:9">
      <c r="A92">
        <v>82116.19</v>
      </c>
      <c r="B92">
        <v>5988</v>
      </c>
      <c r="C92">
        <v>0.04</v>
      </c>
      <c r="D92">
        <v>17</v>
      </c>
      <c r="E92">
        <v>91.8</v>
      </c>
      <c r="F92">
        <v>5.75</v>
      </c>
      <c r="G92">
        <v>0</v>
      </c>
      <c r="H92">
        <v>4.7</v>
      </c>
      <c r="I92">
        <v>739852.58</v>
      </c>
    </row>
    <row r="93" spans="1:9">
      <c r="A93">
        <v>31207.51</v>
      </c>
      <c r="B93">
        <v>3701</v>
      </c>
      <c r="C93">
        <v>4.2999999999999997E-2</v>
      </c>
      <c r="D93">
        <v>11</v>
      </c>
      <c r="E93">
        <v>84.7</v>
      </c>
      <c r="F93">
        <v>0.33</v>
      </c>
      <c r="G93">
        <v>0</v>
      </c>
      <c r="H93">
        <v>4.3</v>
      </c>
      <c r="I93">
        <v>586307.22</v>
      </c>
    </row>
    <row r="94" spans="1:9">
      <c r="A94">
        <v>38966.589999999997</v>
      </c>
      <c r="B94">
        <v>4509</v>
      </c>
      <c r="C94">
        <v>0.19400000000000001</v>
      </c>
      <c r="D94">
        <v>14</v>
      </c>
      <c r="E94">
        <v>91.1</v>
      </c>
      <c r="F94">
        <v>2.92</v>
      </c>
      <c r="G94">
        <v>0</v>
      </c>
      <c r="H94">
        <v>4.5999999999999996</v>
      </c>
      <c r="I94">
        <v>585937.48</v>
      </c>
    </row>
    <row r="95" spans="1:9">
      <c r="A95">
        <v>67439.3</v>
      </c>
      <c r="B95">
        <v>6477</v>
      </c>
      <c r="C95">
        <v>0</v>
      </c>
      <c r="D95">
        <v>16</v>
      </c>
      <c r="E95">
        <v>90.9</v>
      </c>
      <c r="F95">
        <v>1.64</v>
      </c>
      <c r="G95">
        <v>0</v>
      </c>
      <c r="H95">
        <v>4.5</v>
      </c>
      <c r="I95">
        <v>753473.55</v>
      </c>
    </row>
    <row r="96" spans="1:9">
      <c r="A96">
        <v>86421.88</v>
      </c>
      <c r="B96">
        <v>7970</v>
      </c>
      <c r="C96">
        <v>7.2999999999999995E-2</v>
      </c>
      <c r="D96">
        <v>17</v>
      </c>
      <c r="E96">
        <v>91.3</v>
      </c>
      <c r="F96">
        <v>0.8</v>
      </c>
      <c r="G96">
        <v>0</v>
      </c>
      <c r="H96">
        <v>5</v>
      </c>
      <c r="I96">
        <v>838250.32</v>
      </c>
    </row>
    <row r="97" spans="1:9">
      <c r="A97">
        <v>9534.65</v>
      </c>
      <c r="B97">
        <v>6057</v>
      </c>
      <c r="C97">
        <v>7.3999999999999996E-2</v>
      </c>
      <c r="D97">
        <v>15</v>
      </c>
      <c r="E97">
        <v>94.1</v>
      </c>
      <c r="F97">
        <v>5.79</v>
      </c>
      <c r="G97">
        <v>0</v>
      </c>
      <c r="H97">
        <v>4.5</v>
      </c>
      <c r="I97">
        <v>607898.12</v>
      </c>
    </row>
    <row r="98" spans="1:9">
      <c r="A98">
        <v>61132.07</v>
      </c>
      <c r="B98">
        <v>6394</v>
      </c>
      <c r="C98">
        <v>0.16300000000000001</v>
      </c>
      <c r="D98">
        <v>19</v>
      </c>
      <c r="E98">
        <v>91</v>
      </c>
      <c r="F98">
        <v>19.600000000000001</v>
      </c>
      <c r="G98">
        <v>0</v>
      </c>
      <c r="H98">
        <v>4.4000000000000004</v>
      </c>
      <c r="I98">
        <v>691113.62</v>
      </c>
    </row>
    <row r="99" spans="1:9">
      <c r="A99">
        <v>78839.39</v>
      </c>
      <c r="B99">
        <v>5150</v>
      </c>
      <c r="C99">
        <v>0.17100000000000001</v>
      </c>
      <c r="D99">
        <v>13</v>
      </c>
      <c r="E99">
        <v>85.8</v>
      </c>
      <c r="F99">
        <v>7.57</v>
      </c>
      <c r="G99">
        <v>0</v>
      </c>
      <c r="H99">
        <v>4.3</v>
      </c>
      <c r="I99">
        <v>735509.4</v>
      </c>
    </row>
    <row r="100" spans="1:9">
      <c r="A100">
        <v>38752.800000000003</v>
      </c>
      <c r="B100">
        <v>4712</v>
      </c>
      <c r="C100">
        <v>7.4999999999999997E-2</v>
      </c>
      <c r="D100">
        <v>15</v>
      </c>
      <c r="E100">
        <v>89.7</v>
      </c>
      <c r="F100">
        <v>4.5590450000000002</v>
      </c>
      <c r="G100">
        <v>0</v>
      </c>
      <c r="H100">
        <v>4.3</v>
      </c>
      <c r="I100">
        <v>605775.32999999996</v>
      </c>
    </row>
    <row r="101" spans="1:9">
      <c r="A101">
        <v>55101.1</v>
      </c>
      <c r="B101">
        <v>5281</v>
      </c>
      <c r="C101">
        <v>0.189</v>
      </c>
      <c r="D101">
        <v>11</v>
      </c>
      <c r="E101">
        <v>91</v>
      </c>
      <c r="F101">
        <v>2.7</v>
      </c>
      <c r="G101">
        <v>0</v>
      </c>
      <c r="H101">
        <v>4.4000000000000004</v>
      </c>
      <c r="I101">
        <v>675177.68</v>
      </c>
    </row>
    <row r="102" spans="1:9">
      <c r="A102">
        <v>53084.76</v>
      </c>
      <c r="B102">
        <v>3642</v>
      </c>
      <c r="C102">
        <v>0.15</v>
      </c>
      <c r="D102">
        <v>12</v>
      </c>
      <c r="E102">
        <v>91.4</v>
      </c>
      <c r="F102">
        <v>0.2</v>
      </c>
      <c r="G102">
        <v>0</v>
      </c>
      <c r="H102">
        <v>4.4000000000000004</v>
      </c>
      <c r="I102">
        <v>635181.35</v>
      </c>
    </row>
    <row r="103" spans="1:9">
      <c r="A103">
        <v>63101.59</v>
      </c>
      <c r="B103">
        <v>4373</v>
      </c>
      <c r="C103">
        <v>0.17299999999999999</v>
      </c>
      <c r="D103">
        <v>14</v>
      </c>
      <c r="E103">
        <v>90.4</v>
      </c>
      <c r="F103">
        <v>7.87</v>
      </c>
      <c r="G103">
        <v>0</v>
      </c>
      <c r="H103">
        <v>4.7</v>
      </c>
      <c r="I103">
        <v>586626.93999999994</v>
      </c>
    </row>
    <row r="104" spans="1:9">
      <c r="A104">
        <v>90084.4</v>
      </c>
      <c r="B104">
        <v>6832</v>
      </c>
      <c r="C104">
        <v>0.185</v>
      </c>
      <c r="D104">
        <v>14</v>
      </c>
      <c r="E104">
        <v>80.5</v>
      </c>
      <c r="F104">
        <v>0.77</v>
      </c>
      <c r="G104">
        <v>1</v>
      </c>
      <c r="H104">
        <v>4.4000000000000004</v>
      </c>
      <c r="I104">
        <v>740102.64</v>
      </c>
    </row>
    <row r="105" spans="1:9">
      <c r="A105">
        <v>32266.639999999999</v>
      </c>
      <c r="B105">
        <v>2414</v>
      </c>
      <c r="C105">
        <v>0.08</v>
      </c>
      <c r="D105">
        <v>7</v>
      </c>
      <c r="E105">
        <v>92.1</v>
      </c>
      <c r="F105">
        <v>1.48</v>
      </c>
      <c r="G105">
        <v>0</v>
      </c>
      <c r="H105">
        <v>5</v>
      </c>
      <c r="I105">
        <v>625514.04</v>
      </c>
    </row>
    <row r="106" spans="1:9">
      <c r="A106">
        <v>57919.07</v>
      </c>
      <c r="B106">
        <v>7374</v>
      </c>
      <c r="C106">
        <v>0.10299999999999999</v>
      </c>
      <c r="D106">
        <v>21</v>
      </c>
      <c r="E106">
        <v>82.3</v>
      </c>
      <c r="F106">
        <v>2.87</v>
      </c>
      <c r="G106">
        <v>0</v>
      </c>
      <c r="H106">
        <v>2.9</v>
      </c>
      <c r="I106">
        <v>727227.2</v>
      </c>
    </row>
    <row r="107" spans="1:9">
      <c r="A107">
        <v>74679.350000000006</v>
      </c>
      <c r="B107">
        <v>8739</v>
      </c>
      <c r="C107">
        <v>5.6000000000000001E-2</v>
      </c>
      <c r="D107">
        <v>21</v>
      </c>
      <c r="E107">
        <v>91.8</v>
      </c>
      <c r="F107">
        <v>2.83</v>
      </c>
      <c r="G107">
        <v>0</v>
      </c>
      <c r="H107">
        <v>3</v>
      </c>
      <c r="I107">
        <v>783797.89</v>
      </c>
    </row>
    <row r="108" spans="1:9">
      <c r="A108">
        <v>64294.23</v>
      </c>
      <c r="B108">
        <v>6992</v>
      </c>
      <c r="C108">
        <v>0.13300000000000001</v>
      </c>
      <c r="D108">
        <v>14</v>
      </c>
      <c r="E108">
        <v>94.1</v>
      </c>
      <c r="F108">
        <v>0.25</v>
      </c>
      <c r="G108">
        <v>0</v>
      </c>
      <c r="H108">
        <v>3</v>
      </c>
      <c r="I108">
        <v>795153.84</v>
      </c>
    </row>
    <row r="109" spans="1:9">
      <c r="A109">
        <v>31042.03</v>
      </c>
      <c r="B109">
        <v>7107</v>
      </c>
      <c r="C109">
        <v>5.0999999999999997E-2</v>
      </c>
      <c r="D109">
        <v>15</v>
      </c>
      <c r="E109">
        <v>87</v>
      </c>
      <c r="F109">
        <v>13.33</v>
      </c>
      <c r="G109">
        <v>0</v>
      </c>
      <c r="H109">
        <v>3.2</v>
      </c>
      <c r="I109">
        <v>665594.93999999994</v>
      </c>
    </row>
    <row r="110" spans="1:9">
      <c r="A110">
        <v>75265.02</v>
      </c>
      <c r="B110">
        <v>6975</v>
      </c>
      <c r="C110">
        <v>0.157</v>
      </c>
      <c r="D110">
        <v>20</v>
      </c>
      <c r="E110">
        <v>73.8</v>
      </c>
      <c r="F110">
        <v>6.35</v>
      </c>
      <c r="G110">
        <v>1</v>
      </c>
      <c r="H110">
        <v>3.8</v>
      </c>
      <c r="I110">
        <v>709478.39</v>
      </c>
    </row>
    <row r="111" spans="1:9">
      <c r="A111">
        <v>69411.7</v>
      </c>
      <c r="B111">
        <v>5493</v>
      </c>
      <c r="C111">
        <v>0.29199999999999998</v>
      </c>
      <c r="D111">
        <v>13</v>
      </c>
      <c r="E111">
        <v>86.5</v>
      </c>
      <c r="F111">
        <v>6.69</v>
      </c>
      <c r="G111">
        <v>0</v>
      </c>
      <c r="H111">
        <v>3.8</v>
      </c>
      <c r="I111">
        <v>664162.49</v>
      </c>
    </row>
    <row r="112" spans="1:9">
      <c r="A112">
        <v>51056.15</v>
      </c>
      <c r="B112">
        <v>5686</v>
      </c>
      <c r="C112">
        <v>8.8999999999999996E-2</v>
      </c>
      <c r="D112">
        <v>13</v>
      </c>
      <c r="E112">
        <v>89.9</v>
      </c>
      <c r="F112">
        <v>1.28</v>
      </c>
      <c r="G112">
        <v>0</v>
      </c>
      <c r="H112">
        <v>4.2</v>
      </c>
      <c r="I112">
        <v>633494.21</v>
      </c>
    </row>
    <row r="113" spans="1:9">
      <c r="A113">
        <v>52758.01</v>
      </c>
      <c r="B113">
        <v>4063</v>
      </c>
      <c r="C113">
        <v>5.7000000000000002E-2</v>
      </c>
      <c r="D113">
        <v>12</v>
      </c>
      <c r="E113">
        <v>91.7</v>
      </c>
      <c r="F113">
        <v>0.92</v>
      </c>
      <c r="G113">
        <v>0</v>
      </c>
      <c r="H113">
        <v>3.5</v>
      </c>
      <c r="I113">
        <v>713611.16</v>
      </c>
    </row>
    <row r="114" spans="1:9">
      <c r="A114">
        <v>61426.04</v>
      </c>
      <c r="B114">
        <v>8966</v>
      </c>
      <c r="C114">
        <v>0.17299999999999999</v>
      </c>
      <c r="D114">
        <v>22</v>
      </c>
      <c r="E114">
        <v>76.400000000000006</v>
      </c>
      <c r="F114">
        <v>1.05</v>
      </c>
      <c r="G114">
        <v>0</v>
      </c>
      <c r="H114">
        <v>3.1</v>
      </c>
      <c r="I114">
        <v>778397.97</v>
      </c>
    </row>
    <row r="115" spans="1:9">
      <c r="A115">
        <v>80176.34</v>
      </c>
      <c r="B115">
        <v>9489</v>
      </c>
      <c r="C115">
        <v>0.14199999999999999</v>
      </c>
      <c r="D115">
        <v>22</v>
      </c>
      <c r="E115">
        <v>94.3</v>
      </c>
      <c r="F115">
        <v>2.67</v>
      </c>
      <c r="G115">
        <v>0</v>
      </c>
      <c r="H115">
        <v>3.5</v>
      </c>
      <c r="I115">
        <v>873380.02</v>
      </c>
    </row>
    <row r="116" spans="1:9">
      <c r="A116">
        <v>33605.18</v>
      </c>
      <c r="B116">
        <v>9225</v>
      </c>
      <c r="C116">
        <v>0.159</v>
      </c>
      <c r="D116">
        <v>23</v>
      </c>
      <c r="E116">
        <v>88.4</v>
      </c>
      <c r="F116">
        <v>5.91</v>
      </c>
      <c r="G116">
        <v>0</v>
      </c>
      <c r="H116">
        <v>2.8</v>
      </c>
      <c r="I116">
        <v>697287.9</v>
      </c>
    </row>
    <row r="117" spans="1:9">
      <c r="A117">
        <v>25990.54</v>
      </c>
      <c r="B117">
        <v>9249</v>
      </c>
      <c r="C117">
        <v>0.13900000000000001</v>
      </c>
      <c r="D117">
        <v>23</v>
      </c>
      <c r="E117">
        <v>92.5</v>
      </c>
      <c r="F117">
        <v>6.37</v>
      </c>
      <c r="G117">
        <v>0</v>
      </c>
      <c r="H117">
        <v>3.3</v>
      </c>
      <c r="I117">
        <v>718074.79</v>
      </c>
    </row>
    <row r="118" spans="1:9">
      <c r="A118">
        <v>43685.14</v>
      </c>
      <c r="B118">
        <v>7821</v>
      </c>
      <c r="C118">
        <v>0.19</v>
      </c>
      <c r="D118">
        <v>17</v>
      </c>
      <c r="E118">
        <v>91</v>
      </c>
      <c r="F118">
        <v>2.4900000000000002</v>
      </c>
      <c r="G118">
        <v>1</v>
      </c>
      <c r="H118">
        <v>4.7</v>
      </c>
      <c r="I118">
        <v>714942.43</v>
      </c>
    </row>
    <row r="119" spans="1:9">
      <c r="A119">
        <v>57360.01</v>
      </c>
      <c r="B119">
        <v>8434</v>
      </c>
      <c r="C119">
        <v>0.151</v>
      </c>
      <c r="D119">
        <v>19</v>
      </c>
      <c r="E119">
        <v>84.1</v>
      </c>
      <c r="F119">
        <v>1.56</v>
      </c>
      <c r="G119">
        <v>0</v>
      </c>
      <c r="H119">
        <v>4.7</v>
      </c>
      <c r="I119">
        <v>820519.04</v>
      </c>
    </row>
    <row r="120" spans="1:9">
      <c r="A120">
        <v>42415.47</v>
      </c>
      <c r="B120">
        <v>8512</v>
      </c>
      <c r="C120">
        <v>0.13300000000000001</v>
      </c>
      <c r="D120">
        <v>18</v>
      </c>
      <c r="E120">
        <v>96.8</v>
      </c>
      <c r="F120">
        <v>14.95</v>
      </c>
      <c r="G120">
        <v>0</v>
      </c>
      <c r="H120">
        <v>4.5999999999999996</v>
      </c>
      <c r="I120">
        <v>684217.32</v>
      </c>
    </row>
    <row r="121" spans="1:9">
      <c r="A121">
        <v>54968.98</v>
      </c>
      <c r="B121">
        <v>7816</v>
      </c>
      <c r="C121">
        <v>0.23200000000000001</v>
      </c>
      <c r="D121">
        <v>19</v>
      </c>
      <c r="E121">
        <v>95.7</v>
      </c>
      <c r="F121">
        <v>7.85</v>
      </c>
      <c r="G121">
        <v>0</v>
      </c>
      <c r="H121">
        <v>4.7</v>
      </c>
      <c r="I121">
        <v>735480.19</v>
      </c>
    </row>
    <row r="122" spans="1:9">
      <c r="A122">
        <v>43896.13</v>
      </c>
      <c r="B122">
        <v>3853</v>
      </c>
      <c r="C122">
        <v>8.7999999999999995E-2</v>
      </c>
      <c r="D122">
        <v>13</v>
      </c>
      <c r="E122">
        <v>83</v>
      </c>
      <c r="F122">
        <v>6.8</v>
      </c>
      <c r="G122">
        <v>0</v>
      </c>
      <c r="H122">
        <v>4.4000000000000004</v>
      </c>
      <c r="I122">
        <v>509484.81</v>
      </c>
    </row>
    <row r="123" spans="1:9">
      <c r="A123">
        <v>83044.17</v>
      </c>
      <c r="B123">
        <v>3694</v>
      </c>
      <c r="C123">
        <v>0</v>
      </c>
      <c r="D123">
        <v>14</v>
      </c>
      <c r="E123">
        <v>89.4</v>
      </c>
      <c r="F123">
        <v>2.2000000000000002</v>
      </c>
      <c r="G123">
        <v>0</v>
      </c>
      <c r="H123">
        <v>3.7</v>
      </c>
      <c r="I123">
        <v>654317.09</v>
      </c>
    </row>
    <row r="124" spans="1:9">
      <c r="A124">
        <v>48396.13</v>
      </c>
      <c r="B124">
        <v>4423</v>
      </c>
      <c r="C124">
        <v>6.9000000000000006E-2</v>
      </c>
      <c r="D124">
        <v>15</v>
      </c>
      <c r="E124">
        <v>85.7</v>
      </c>
      <c r="F124">
        <v>1.88</v>
      </c>
      <c r="G124">
        <v>0</v>
      </c>
      <c r="H124">
        <v>3.9</v>
      </c>
      <c r="I124">
        <v>557487.26</v>
      </c>
    </row>
    <row r="125" spans="1:9">
      <c r="A125">
        <v>19063.48</v>
      </c>
      <c r="B125">
        <v>1906</v>
      </c>
      <c r="C125">
        <v>0.216</v>
      </c>
      <c r="D125">
        <v>10</v>
      </c>
      <c r="E125">
        <v>97.8</v>
      </c>
      <c r="F125">
        <v>15.79</v>
      </c>
      <c r="G125">
        <v>0</v>
      </c>
      <c r="H125">
        <v>4.4000000000000004</v>
      </c>
      <c r="I125">
        <v>441275.42</v>
      </c>
    </row>
    <row r="126" spans="1:9">
      <c r="A126">
        <v>61541.21</v>
      </c>
      <c r="B126">
        <v>10396</v>
      </c>
      <c r="C126">
        <v>0.123</v>
      </c>
      <c r="D126">
        <v>25</v>
      </c>
      <c r="E126">
        <v>88.1</v>
      </c>
      <c r="F126">
        <v>2.34</v>
      </c>
      <c r="G126">
        <v>1</v>
      </c>
      <c r="H126">
        <v>4.8</v>
      </c>
      <c r="I126">
        <v>914544.17</v>
      </c>
    </row>
    <row r="127" spans="1:9">
      <c r="A127">
        <v>44747</v>
      </c>
      <c r="B127">
        <v>11076</v>
      </c>
      <c r="C127">
        <v>0.17599999999999999</v>
      </c>
      <c r="D127">
        <v>27</v>
      </c>
      <c r="E127">
        <v>98.3</v>
      </c>
      <c r="F127">
        <v>0.54</v>
      </c>
      <c r="G127">
        <v>0</v>
      </c>
      <c r="H127">
        <v>4.4000000000000004</v>
      </c>
      <c r="I127">
        <v>842439.67</v>
      </c>
    </row>
    <row r="128" spans="1:9">
      <c r="A128">
        <v>56517.9</v>
      </c>
      <c r="B128">
        <v>9574</v>
      </c>
      <c r="C128">
        <v>0.20399999999999999</v>
      </c>
      <c r="D128">
        <v>20</v>
      </c>
      <c r="E128">
        <v>88.2</v>
      </c>
      <c r="F128">
        <v>5.37</v>
      </c>
      <c r="G128">
        <v>1</v>
      </c>
      <c r="H128">
        <v>4.9000000000000004</v>
      </c>
      <c r="I128">
        <v>842157.92</v>
      </c>
    </row>
    <row r="129" spans="1:9">
      <c r="A129">
        <v>37828.5</v>
      </c>
      <c r="B129">
        <v>8221</v>
      </c>
      <c r="C129">
        <v>9.6000000000000002E-2</v>
      </c>
      <c r="D129">
        <v>19</v>
      </c>
      <c r="E129">
        <v>81.5</v>
      </c>
      <c r="F129">
        <v>3.19</v>
      </c>
      <c r="G129">
        <v>0</v>
      </c>
      <c r="H129">
        <v>4.8</v>
      </c>
      <c r="I129">
        <v>697155.3</v>
      </c>
    </row>
    <row r="130" spans="1:9">
      <c r="A130">
        <v>66250.53</v>
      </c>
      <c r="B130">
        <v>10618</v>
      </c>
      <c r="C130">
        <v>0.14199999999999999</v>
      </c>
      <c r="D130">
        <v>27</v>
      </c>
      <c r="E130">
        <v>88.3</v>
      </c>
      <c r="F130">
        <v>1.1000000000000001</v>
      </c>
      <c r="G130">
        <v>1</v>
      </c>
      <c r="H130">
        <v>4.4000000000000004</v>
      </c>
      <c r="I130">
        <v>849018.3</v>
      </c>
    </row>
    <row r="131" spans="1:9">
      <c r="A131">
        <v>68410.929999999993</v>
      </c>
      <c r="B131">
        <v>10596</v>
      </c>
      <c r="C131">
        <v>0.20699999999999999</v>
      </c>
      <c r="D131">
        <v>25</v>
      </c>
      <c r="E131">
        <v>81.2</v>
      </c>
      <c r="F131">
        <v>0.21</v>
      </c>
      <c r="G131">
        <v>0</v>
      </c>
      <c r="H131">
        <v>4</v>
      </c>
      <c r="I131">
        <v>801830.35</v>
      </c>
    </row>
    <row r="132" spans="1:9">
      <c r="A132">
        <v>50735.63</v>
      </c>
      <c r="B132">
        <v>9619</v>
      </c>
      <c r="C132">
        <v>0.14399999999999999</v>
      </c>
      <c r="D132">
        <v>19</v>
      </c>
      <c r="E132">
        <v>93.8</v>
      </c>
      <c r="F132">
        <v>5.12</v>
      </c>
      <c r="G132">
        <v>1</v>
      </c>
      <c r="H132">
        <v>4.5</v>
      </c>
      <c r="I132">
        <v>725235.28</v>
      </c>
    </row>
    <row r="133" spans="1:9">
      <c r="A133">
        <v>66455.8</v>
      </c>
      <c r="B133">
        <v>10836</v>
      </c>
      <c r="C133">
        <v>8.8999999999999996E-2</v>
      </c>
      <c r="D133">
        <v>25</v>
      </c>
      <c r="E133">
        <v>85</v>
      </c>
      <c r="F133">
        <v>9.77</v>
      </c>
      <c r="G133">
        <v>0</v>
      </c>
      <c r="H133">
        <v>4.5</v>
      </c>
      <c r="I133">
        <v>811452.72</v>
      </c>
    </row>
    <row r="134" spans="1:9">
      <c r="A134">
        <v>70276.28</v>
      </c>
      <c r="B134">
        <v>3043</v>
      </c>
      <c r="C134">
        <v>7.9000000000000001E-2</v>
      </c>
      <c r="D134">
        <v>9</v>
      </c>
      <c r="E134">
        <v>87.9</v>
      </c>
      <c r="F134">
        <v>3.77</v>
      </c>
      <c r="G134">
        <v>0</v>
      </c>
      <c r="H134">
        <v>4.4000000000000004</v>
      </c>
      <c r="I134">
        <v>527300.13</v>
      </c>
    </row>
    <row r="135" spans="1:9">
      <c r="A135">
        <v>22071.64</v>
      </c>
      <c r="B135">
        <v>1814</v>
      </c>
      <c r="C135">
        <v>0.19600000000000001</v>
      </c>
      <c r="D135">
        <v>8</v>
      </c>
      <c r="E135">
        <v>81.099999999999994</v>
      </c>
      <c r="F135">
        <v>0.78</v>
      </c>
      <c r="G135">
        <v>0</v>
      </c>
      <c r="H135">
        <f>3.924</f>
        <v>3.9239999999999999</v>
      </c>
      <c r="I135">
        <v>400831.65</v>
      </c>
    </row>
    <row r="136" spans="1:9">
      <c r="A136">
        <v>52285.45</v>
      </c>
      <c r="B136">
        <v>3618</v>
      </c>
      <c r="C136">
        <v>8.5999999999999993E-2</v>
      </c>
      <c r="D136">
        <v>11</v>
      </c>
      <c r="E136">
        <v>95.6</v>
      </c>
      <c r="F136">
        <v>5.17</v>
      </c>
      <c r="G136">
        <v>1</v>
      </c>
      <c r="H136">
        <v>4.4000000000000004</v>
      </c>
      <c r="I136">
        <v>593247.25</v>
      </c>
    </row>
    <row r="137" spans="1:9">
      <c r="A137">
        <v>70366.759999999995</v>
      </c>
      <c r="B137">
        <v>1963</v>
      </c>
      <c r="C137">
        <v>0.182</v>
      </c>
      <c r="D137">
        <v>8</v>
      </c>
      <c r="E137">
        <v>89.8</v>
      </c>
      <c r="F137">
        <v>3.2</v>
      </c>
      <c r="G137">
        <v>0</v>
      </c>
      <c r="H137">
        <v>4.5999999999999996</v>
      </c>
      <c r="I137">
        <v>529075.94999999995</v>
      </c>
    </row>
    <row r="138" spans="1:9">
      <c r="A138">
        <v>71320.66</v>
      </c>
      <c r="B138">
        <v>7888</v>
      </c>
      <c r="C138">
        <v>4.8000000000000001E-2</v>
      </c>
      <c r="D138">
        <v>20</v>
      </c>
      <c r="E138">
        <v>78.099999999999994</v>
      </c>
      <c r="F138">
        <v>3.4</v>
      </c>
      <c r="G138">
        <v>0</v>
      </c>
      <c r="H138">
        <f>3.924</f>
        <v>3.9239999999999999</v>
      </c>
      <c r="I138">
        <v>633638.03</v>
      </c>
    </row>
    <row r="139" spans="1:9">
      <c r="A139">
        <v>75109.67</v>
      </c>
      <c r="B139">
        <v>6244</v>
      </c>
      <c r="C139">
        <v>7.9000000000000001E-2</v>
      </c>
      <c r="D139">
        <v>15</v>
      </c>
      <c r="E139">
        <v>96.3</v>
      </c>
      <c r="F139">
        <v>7.38</v>
      </c>
      <c r="G139">
        <v>0</v>
      </c>
      <c r="H139">
        <v>3.7</v>
      </c>
      <c r="I139">
        <v>743348.84</v>
      </c>
    </row>
    <row r="140" spans="1:9">
      <c r="A140">
        <v>69779</v>
      </c>
      <c r="B140">
        <v>6544</v>
      </c>
      <c r="C140">
        <v>0.152</v>
      </c>
      <c r="D140">
        <v>18</v>
      </c>
      <c r="E140">
        <v>90.2</v>
      </c>
      <c r="F140">
        <v>0.85</v>
      </c>
      <c r="G140">
        <v>1</v>
      </c>
      <c r="H140">
        <v>3.3</v>
      </c>
      <c r="I140">
        <v>758827.64</v>
      </c>
    </row>
    <row r="141" spans="1:9">
      <c r="A141">
        <v>44211.95</v>
      </c>
      <c r="B141">
        <v>5465</v>
      </c>
      <c r="C141">
        <v>0.187</v>
      </c>
      <c r="D141">
        <v>12</v>
      </c>
      <c r="E141">
        <v>90</v>
      </c>
      <c r="F141">
        <v>2.89</v>
      </c>
      <c r="G141">
        <v>0</v>
      </c>
      <c r="H141">
        <v>3.6</v>
      </c>
      <c r="I141">
        <v>646559.71</v>
      </c>
    </row>
    <row r="142" spans="1:9">
      <c r="A142">
        <v>51430.31</v>
      </c>
      <c r="B142">
        <v>6427</v>
      </c>
      <c r="C142">
        <v>0.23400000000000001</v>
      </c>
      <c r="D142">
        <v>14</v>
      </c>
      <c r="E142">
        <v>88.8</v>
      </c>
      <c r="F142">
        <v>0.77</v>
      </c>
      <c r="G142">
        <v>0</v>
      </c>
      <c r="H142">
        <v>4.0999999999999996</v>
      </c>
      <c r="I142">
        <v>715890.53</v>
      </c>
    </row>
    <row r="143" spans="1:9">
      <c r="A143">
        <v>45706.49</v>
      </c>
      <c r="B143">
        <v>6704</v>
      </c>
      <c r="C143">
        <v>3.7999999999999999E-2</v>
      </c>
      <c r="D143">
        <v>15</v>
      </c>
      <c r="E143">
        <v>94.2</v>
      </c>
      <c r="F143">
        <v>2.92</v>
      </c>
      <c r="G143">
        <v>0</v>
      </c>
      <c r="H143">
        <v>4.2</v>
      </c>
      <c r="I143">
        <v>715097.57</v>
      </c>
    </row>
    <row r="144" spans="1:9">
      <c r="A144">
        <v>44034.6</v>
      </c>
      <c r="B144">
        <v>5645</v>
      </c>
      <c r="C144">
        <v>6.9000000000000006E-2</v>
      </c>
      <c r="D144">
        <v>18</v>
      </c>
      <c r="E144">
        <v>88.5</v>
      </c>
      <c r="F144">
        <v>3.07</v>
      </c>
      <c r="G144">
        <v>0</v>
      </c>
      <c r="H144">
        <v>3.8</v>
      </c>
      <c r="I144">
        <v>682639.28</v>
      </c>
    </row>
    <row r="145" spans="1:9">
      <c r="A145">
        <v>50198.12</v>
      </c>
      <c r="B145">
        <v>6089</v>
      </c>
      <c r="C145">
        <v>0.182</v>
      </c>
      <c r="D145">
        <v>19</v>
      </c>
      <c r="E145">
        <v>94</v>
      </c>
      <c r="F145">
        <v>9.6999999999999993</v>
      </c>
      <c r="G145">
        <v>0</v>
      </c>
      <c r="H145">
        <v>3.9</v>
      </c>
      <c r="I145">
        <v>695098.51</v>
      </c>
    </row>
    <row r="146" spans="1:9">
      <c r="A146">
        <v>70488.2</v>
      </c>
      <c r="B146">
        <v>4312</v>
      </c>
      <c r="C146">
        <v>0.16900000000000001</v>
      </c>
      <c r="D146">
        <v>12</v>
      </c>
      <c r="E146">
        <v>90.2</v>
      </c>
      <c r="F146">
        <v>3.71</v>
      </c>
      <c r="G146">
        <v>0</v>
      </c>
      <c r="H146">
        <v>3.2</v>
      </c>
      <c r="I146">
        <v>577732.56999999995</v>
      </c>
    </row>
    <row r="147" spans="1:9">
      <c r="A147">
        <v>50909.27</v>
      </c>
      <c r="B147">
        <v>3152</v>
      </c>
      <c r="C147">
        <v>0.06</v>
      </c>
      <c r="D147">
        <v>13</v>
      </c>
      <c r="E147">
        <v>93.7</v>
      </c>
      <c r="F147">
        <v>10.79</v>
      </c>
      <c r="G147">
        <v>0</v>
      </c>
      <c r="H147">
        <v>3.5</v>
      </c>
      <c r="I147">
        <v>537058.32999999996</v>
      </c>
    </row>
    <row r="148" spans="1:9">
      <c r="A148">
        <v>53351.7</v>
      </c>
      <c r="B148">
        <v>4259</v>
      </c>
      <c r="C148">
        <v>0.156</v>
      </c>
      <c r="D148">
        <v>15</v>
      </c>
      <c r="E148">
        <v>93.7</v>
      </c>
      <c r="F148">
        <v>6.03</v>
      </c>
      <c r="G148">
        <v>0</v>
      </c>
      <c r="H148">
        <v>3.4</v>
      </c>
      <c r="I148">
        <v>601568.87</v>
      </c>
    </row>
    <row r="149" spans="1:9">
      <c r="A149">
        <v>60322.400000000001</v>
      </c>
      <c r="B149">
        <v>3350</v>
      </c>
      <c r="C149">
        <v>0.108</v>
      </c>
      <c r="D149">
        <v>12</v>
      </c>
      <c r="E149">
        <v>89.4</v>
      </c>
      <c r="F149">
        <v>4.92</v>
      </c>
      <c r="G149">
        <v>0</v>
      </c>
      <c r="H149">
        <v>3.4</v>
      </c>
      <c r="I149">
        <v>570964.84</v>
      </c>
    </row>
    <row r="150" spans="1:9">
      <c r="A150">
        <v>51575.68</v>
      </c>
      <c r="B150">
        <v>5329</v>
      </c>
      <c r="C150">
        <v>4.7E-2</v>
      </c>
      <c r="D150">
        <v>17</v>
      </c>
      <c r="E150">
        <v>88.1</v>
      </c>
      <c r="F150">
        <v>19.78</v>
      </c>
      <c r="G150">
        <v>0</v>
      </c>
      <c r="H150">
        <v>3.8</v>
      </c>
      <c r="I150">
        <v>614024.91</v>
      </c>
    </row>
    <row r="151" spans="1:9">
      <c r="A151">
        <v>43319.94</v>
      </c>
      <c r="B151">
        <v>6551</v>
      </c>
      <c r="C151">
        <v>4.3999999999999997E-2</v>
      </c>
      <c r="D151">
        <v>13</v>
      </c>
      <c r="E151">
        <v>99</v>
      </c>
      <c r="F151">
        <v>5.45</v>
      </c>
      <c r="G151">
        <v>0</v>
      </c>
      <c r="H151">
        <v>4.0999999999999996</v>
      </c>
      <c r="I151">
        <v>712868.35</v>
      </c>
    </row>
    <row r="152" spans="1:9">
      <c r="A152">
        <v>47093.55</v>
      </c>
      <c r="B152">
        <v>5550</v>
      </c>
      <c r="C152">
        <v>0.1</v>
      </c>
      <c r="D152">
        <v>12</v>
      </c>
      <c r="E152">
        <v>95</v>
      </c>
      <c r="F152">
        <v>2.33</v>
      </c>
      <c r="G152">
        <v>1</v>
      </c>
      <c r="H152">
        <v>3.7</v>
      </c>
      <c r="I152">
        <v>696744.15</v>
      </c>
    </row>
    <row r="153" spans="1:9">
      <c r="A153">
        <v>71855.09</v>
      </c>
      <c r="B153">
        <v>5911</v>
      </c>
      <c r="C153">
        <v>0.19700000000000001</v>
      </c>
      <c r="D153">
        <v>15</v>
      </c>
      <c r="E153">
        <v>94.3</v>
      </c>
      <c r="F153">
        <v>3.55</v>
      </c>
      <c r="G153">
        <v>0</v>
      </c>
      <c r="H153">
        <v>4.0999999999999996</v>
      </c>
      <c r="I153">
        <v>725847.99</v>
      </c>
    </row>
    <row r="154" spans="1:9">
      <c r="A154">
        <v>75645.23</v>
      </c>
      <c r="B154">
        <v>9674</v>
      </c>
      <c r="C154">
        <v>0.23400000000000001</v>
      </c>
      <c r="D154">
        <v>21</v>
      </c>
      <c r="E154">
        <v>87.4</v>
      </c>
      <c r="F154">
        <v>0.2</v>
      </c>
      <c r="G154">
        <v>0</v>
      </c>
      <c r="H154">
        <v>4.5</v>
      </c>
      <c r="I154">
        <v>785028.25</v>
      </c>
    </row>
    <row r="155" spans="1:9">
      <c r="A155">
        <v>64374.75</v>
      </c>
      <c r="B155">
        <v>6740</v>
      </c>
      <c r="C155">
        <v>0.16900000000000001</v>
      </c>
      <c r="D155">
        <v>18</v>
      </c>
      <c r="E155">
        <v>87</v>
      </c>
      <c r="F155">
        <v>2.09</v>
      </c>
      <c r="G155">
        <v>0</v>
      </c>
      <c r="H155">
        <v>4.2</v>
      </c>
      <c r="I155">
        <v>698492.67</v>
      </c>
    </row>
    <row r="156" spans="1:9">
      <c r="A156">
        <v>61433.84</v>
      </c>
      <c r="B156">
        <v>7745</v>
      </c>
      <c r="C156">
        <v>0.18</v>
      </c>
      <c r="D156">
        <v>16</v>
      </c>
      <c r="E156">
        <v>90.5</v>
      </c>
      <c r="F156">
        <v>2.2599999999999998</v>
      </c>
      <c r="G156">
        <v>0</v>
      </c>
      <c r="H156">
        <v>4.2</v>
      </c>
      <c r="I156">
        <v>685830.24</v>
      </c>
    </row>
    <row r="157" spans="1:9">
      <c r="A157">
        <v>42698.14</v>
      </c>
      <c r="B157">
        <v>7693</v>
      </c>
      <c r="C157">
        <v>0.187</v>
      </c>
      <c r="D157">
        <v>19</v>
      </c>
      <c r="E157">
        <v>90.1</v>
      </c>
      <c r="F157">
        <v>0.44</v>
      </c>
      <c r="G157">
        <v>0</v>
      </c>
      <c r="H157">
        <v>4.4000000000000004</v>
      </c>
      <c r="I157">
        <v>702318.94</v>
      </c>
    </row>
    <row r="158" spans="1:9">
      <c r="A158">
        <v>86883.31</v>
      </c>
      <c r="B158">
        <v>6424</v>
      </c>
      <c r="C158">
        <v>5.7000000000000002E-2</v>
      </c>
      <c r="D158">
        <v>19</v>
      </c>
      <c r="E158">
        <v>85.2</v>
      </c>
      <c r="F158">
        <v>3.08</v>
      </c>
      <c r="G158">
        <v>0</v>
      </c>
      <c r="H158">
        <v>3.9</v>
      </c>
      <c r="I158">
        <v>700078.32</v>
      </c>
    </row>
    <row r="159" spans="1:9">
      <c r="A159">
        <v>41863.08</v>
      </c>
      <c r="B159">
        <v>5400</v>
      </c>
      <c r="C159">
        <v>0.114</v>
      </c>
      <c r="D159">
        <v>11</v>
      </c>
      <c r="E159">
        <v>91.6</v>
      </c>
      <c r="F159">
        <v>7.99</v>
      </c>
      <c r="G159">
        <v>0</v>
      </c>
      <c r="H159">
        <v>3</v>
      </c>
      <c r="I159">
        <v>602002.31999999995</v>
      </c>
    </row>
    <row r="160" spans="1:9">
      <c r="A160">
        <v>56918.16</v>
      </c>
      <c r="B160">
        <v>7015</v>
      </c>
      <c r="C160">
        <v>0.158</v>
      </c>
      <c r="D160">
        <v>18</v>
      </c>
      <c r="E160">
        <v>74.2</v>
      </c>
      <c r="F160">
        <v>0.2</v>
      </c>
      <c r="G160">
        <v>0</v>
      </c>
      <c r="H160">
        <v>3.4</v>
      </c>
      <c r="I160">
        <v>724216.07</v>
      </c>
    </row>
    <row r="161" spans="1:9">
      <c r="A161">
        <v>23254.57</v>
      </c>
      <c r="B161">
        <v>3847</v>
      </c>
      <c r="C161">
        <v>0.159</v>
      </c>
      <c r="D161">
        <v>12</v>
      </c>
      <c r="E161">
        <v>93</v>
      </c>
      <c r="F161">
        <v>5.46</v>
      </c>
      <c r="G161">
        <v>0</v>
      </c>
      <c r="H161">
        <v>3.3</v>
      </c>
      <c r="I161">
        <v>620973.03</v>
      </c>
    </row>
    <row r="162" spans="1:9">
      <c r="A162">
        <v>41443.410000000003</v>
      </c>
      <c r="B162">
        <v>7455</v>
      </c>
      <c r="C162">
        <v>0.17499999999999999</v>
      </c>
      <c r="D162">
        <v>16</v>
      </c>
      <c r="E162">
        <v>90.1</v>
      </c>
      <c r="F162">
        <v>4.05</v>
      </c>
      <c r="G162">
        <v>0</v>
      </c>
      <c r="H162">
        <v>4</v>
      </c>
      <c r="I162">
        <v>650480.06000000006</v>
      </c>
    </row>
    <row r="163" spans="1:9">
      <c r="A163">
        <v>48438.85</v>
      </c>
      <c r="B163">
        <v>6992</v>
      </c>
      <c r="C163">
        <v>3.4000000000000002E-2</v>
      </c>
      <c r="D163">
        <v>20</v>
      </c>
      <c r="E163">
        <v>91</v>
      </c>
      <c r="F163">
        <v>4.3600000000000003</v>
      </c>
      <c r="G163">
        <v>0</v>
      </c>
      <c r="H163">
        <v>4.2</v>
      </c>
      <c r="I163">
        <v>778298.88</v>
      </c>
    </row>
    <row r="164" spans="1:9">
      <c r="A164">
        <v>57143.3</v>
      </c>
      <c r="B164">
        <v>8038</v>
      </c>
      <c r="C164">
        <v>0.193</v>
      </c>
      <c r="D164">
        <v>17</v>
      </c>
      <c r="E164">
        <v>72.599999999999994</v>
      </c>
      <c r="F164">
        <f>K2</f>
        <v>0</v>
      </c>
      <c r="G164">
        <v>0</v>
      </c>
      <c r="H164">
        <v>4.2</v>
      </c>
      <c r="I164">
        <v>677096.71</v>
      </c>
    </row>
    <row r="165" spans="1:9">
      <c r="A165">
        <v>66870.62</v>
      </c>
      <c r="B165">
        <v>6055</v>
      </c>
      <c r="C165">
        <v>7.4999999999999997E-2</v>
      </c>
      <c r="D165">
        <v>19</v>
      </c>
      <c r="E165">
        <v>93.8</v>
      </c>
      <c r="F165">
        <v>0.54</v>
      </c>
      <c r="G165">
        <v>0</v>
      </c>
      <c r="H165">
        <v>4.3</v>
      </c>
      <c r="I165">
        <v>692008.64</v>
      </c>
    </row>
    <row r="166" spans="1:9">
      <c r="A166">
        <v>72150.53</v>
      </c>
      <c r="B166">
        <v>9323</v>
      </c>
      <c r="C166">
        <v>0.157</v>
      </c>
      <c r="D166">
        <v>22</v>
      </c>
      <c r="E166">
        <v>82.9</v>
      </c>
      <c r="F166">
        <v>11.37</v>
      </c>
      <c r="G166">
        <v>1</v>
      </c>
      <c r="H166">
        <v>4.3</v>
      </c>
      <c r="I166">
        <v>825797.91</v>
      </c>
    </row>
    <row r="167" spans="1:9">
      <c r="A167">
        <v>35303.300000000003</v>
      </c>
      <c r="B167">
        <v>8789</v>
      </c>
      <c r="C167">
        <v>0.123</v>
      </c>
      <c r="D167">
        <v>22</v>
      </c>
      <c r="E167">
        <v>86.1</v>
      </c>
      <c r="F167">
        <v>9.43</v>
      </c>
      <c r="G167">
        <v>0</v>
      </c>
      <c r="H167">
        <v>4.2</v>
      </c>
      <c r="I167">
        <v>706285.52</v>
      </c>
    </row>
    <row r="168" spans="1:9">
      <c r="A168">
        <v>30301.86</v>
      </c>
      <c r="B168">
        <v>6939</v>
      </c>
      <c r="C168">
        <v>0.09</v>
      </c>
      <c r="D168">
        <v>16</v>
      </c>
      <c r="E168">
        <v>90.3</v>
      </c>
      <c r="F168">
        <v>3.49</v>
      </c>
      <c r="G168">
        <v>0</v>
      </c>
      <c r="H168">
        <v>4</v>
      </c>
      <c r="I168">
        <v>665534.69999999995</v>
      </c>
    </row>
    <row r="169" spans="1:9">
      <c r="A169">
        <v>78432.14</v>
      </c>
      <c r="B169">
        <v>9440</v>
      </c>
      <c r="C169">
        <v>0.126</v>
      </c>
      <c r="D169">
        <v>23</v>
      </c>
      <c r="E169">
        <v>89.2</v>
      </c>
      <c r="F169">
        <v>7.86</v>
      </c>
      <c r="G169">
        <v>0</v>
      </c>
      <c r="H169">
        <v>4.0999999999999996</v>
      </c>
      <c r="I169">
        <v>820729.29</v>
      </c>
    </row>
    <row r="170" spans="1:9">
      <c r="A170">
        <v>62059.18</v>
      </c>
      <c r="B170">
        <v>9374</v>
      </c>
      <c r="C170">
        <v>0.13600000000000001</v>
      </c>
      <c r="D170">
        <v>25</v>
      </c>
      <c r="E170">
        <v>87.1</v>
      </c>
      <c r="F170">
        <v>12.55</v>
      </c>
      <c r="G170">
        <v>0</v>
      </c>
      <c r="H170">
        <v>4.9000000000000004</v>
      </c>
      <c r="I170">
        <v>739831.73</v>
      </c>
    </row>
    <row r="171" spans="1:9">
      <c r="A171">
        <v>32834.480000000003</v>
      </c>
      <c r="B171">
        <v>7576</v>
      </c>
      <c r="C171">
        <v>9.9000000000000005E-2</v>
      </c>
      <c r="D171">
        <v>15</v>
      </c>
      <c r="E171">
        <v>84.1</v>
      </c>
      <c r="F171">
        <v>3.48</v>
      </c>
      <c r="G171">
        <v>0</v>
      </c>
      <c r="H171">
        <v>5</v>
      </c>
      <c r="I171">
        <v>593637.14</v>
      </c>
    </row>
    <row r="172" spans="1:9">
      <c r="A172">
        <v>50825.08</v>
      </c>
      <c r="B172">
        <v>8949</v>
      </c>
      <c r="C172">
        <v>0.157</v>
      </c>
      <c r="D172">
        <v>21</v>
      </c>
      <c r="E172">
        <v>84.7</v>
      </c>
      <c r="F172">
        <v>7.73</v>
      </c>
      <c r="G172">
        <v>0</v>
      </c>
      <c r="H172">
        <v>4.9000000000000004</v>
      </c>
      <c r="I172">
        <v>769702.76</v>
      </c>
    </row>
    <row r="173" spans="1:9">
      <c r="A173">
        <v>36606.51</v>
      </c>
      <c r="B173">
        <v>7671</v>
      </c>
      <c r="C173">
        <v>0.11799999999999999</v>
      </c>
      <c r="D173">
        <v>18</v>
      </c>
      <c r="E173">
        <v>89.8</v>
      </c>
      <c r="F173">
        <v>0.25</v>
      </c>
      <c r="G173">
        <v>0</v>
      </c>
      <c r="H173">
        <v>4.4000000000000004</v>
      </c>
      <c r="I173">
        <v>679731.57</v>
      </c>
    </row>
    <row r="174" spans="1:9">
      <c r="A174">
        <v>65237.79</v>
      </c>
      <c r="B174">
        <v>8741</v>
      </c>
      <c r="C174">
        <v>0.157</v>
      </c>
      <c r="D174">
        <v>20</v>
      </c>
      <c r="E174">
        <v>94.4</v>
      </c>
      <c r="F174">
        <v>6.43</v>
      </c>
      <c r="G174">
        <v>0</v>
      </c>
      <c r="H174">
        <v>3.3</v>
      </c>
      <c r="I174">
        <v>780344.18</v>
      </c>
    </row>
    <row r="175" spans="1:9">
      <c r="A175">
        <v>43645.98</v>
      </c>
      <c r="B175">
        <v>9480</v>
      </c>
      <c r="C175">
        <v>0.109</v>
      </c>
      <c r="D175">
        <v>22</v>
      </c>
      <c r="E175">
        <v>89</v>
      </c>
      <c r="F175">
        <v>2.11</v>
      </c>
      <c r="G175">
        <v>0</v>
      </c>
      <c r="H175">
        <v>3.1</v>
      </c>
      <c r="I175">
        <v>721364.11</v>
      </c>
    </row>
    <row r="176" spans="1:9">
      <c r="A176">
        <v>68040.149999999994</v>
      </c>
      <c r="B176">
        <v>9826</v>
      </c>
      <c r="C176">
        <v>0.125</v>
      </c>
      <c r="D176">
        <v>20</v>
      </c>
      <c r="E176">
        <v>83.9</v>
      </c>
      <c r="F176">
        <v>9.1199999999999992</v>
      </c>
      <c r="G176">
        <v>0</v>
      </c>
      <c r="H176">
        <v>3.6</v>
      </c>
      <c r="I176">
        <v>758138.29</v>
      </c>
    </row>
    <row r="177" spans="1:9">
      <c r="A177">
        <v>63043.94</v>
      </c>
      <c r="B177">
        <v>10402</v>
      </c>
      <c r="C177">
        <v>0.159</v>
      </c>
      <c r="D177">
        <v>23</v>
      </c>
      <c r="E177">
        <v>93.9</v>
      </c>
      <c r="F177">
        <v>2.71</v>
      </c>
      <c r="G177">
        <v>0</v>
      </c>
      <c r="H177">
        <v>3.1</v>
      </c>
      <c r="I177">
        <v>804264</v>
      </c>
    </row>
    <row r="178" spans="1:9">
      <c r="A178">
        <v>67494.09</v>
      </c>
      <c r="B178">
        <v>12361</v>
      </c>
      <c r="C178">
        <v>4.5999999999999999E-2</v>
      </c>
      <c r="D178">
        <v>24</v>
      </c>
      <c r="E178">
        <v>76.599999999999994</v>
      </c>
      <c r="F178">
        <v>3.65</v>
      </c>
      <c r="G178">
        <v>1</v>
      </c>
      <c r="H178">
        <v>3.7</v>
      </c>
      <c r="I178">
        <v>887537.75</v>
      </c>
    </row>
    <row r="179" spans="1:9">
      <c r="A179">
        <v>29389.32</v>
      </c>
      <c r="B179">
        <v>7925</v>
      </c>
      <c r="C179">
        <v>0.17699999999999999</v>
      </c>
      <c r="D179">
        <v>21</v>
      </c>
      <c r="E179">
        <v>90.9</v>
      </c>
      <c r="F179">
        <v>7.86</v>
      </c>
      <c r="G179">
        <v>0</v>
      </c>
      <c r="H179">
        <v>4</v>
      </c>
      <c r="I179">
        <v>783582</v>
      </c>
    </row>
    <row r="180" spans="1:9">
      <c r="A180">
        <v>40535.089999999997</v>
      </c>
      <c r="B180">
        <v>8870</v>
      </c>
      <c r="C180">
        <v>4.1000000000000002E-2</v>
      </c>
      <c r="D180">
        <v>21</v>
      </c>
      <c r="E180">
        <v>86.6</v>
      </c>
      <c r="F180">
        <v>0.3</v>
      </c>
      <c r="G180">
        <v>0</v>
      </c>
      <c r="H180">
        <v>4.0999999999999996</v>
      </c>
      <c r="I180">
        <v>781955.52</v>
      </c>
    </row>
    <row r="181" spans="1:9">
      <c r="A181">
        <v>74881.56</v>
      </c>
      <c r="B181">
        <v>9999</v>
      </c>
      <c r="C181">
        <v>1.2999999999999999E-2</v>
      </c>
      <c r="D181">
        <v>20</v>
      </c>
      <c r="E181">
        <v>89.6</v>
      </c>
      <c r="F181">
        <v>8.44</v>
      </c>
      <c r="G181">
        <v>0</v>
      </c>
      <c r="H181">
        <v>4.0999999999999996</v>
      </c>
      <c r="I181">
        <v>898031.04</v>
      </c>
    </row>
    <row r="182" spans="1:9">
      <c r="A182">
        <v>68491.11</v>
      </c>
      <c r="B182">
        <v>11154</v>
      </c>
      <c r="C182">
        <v>1E-3</v>
      </c>
      <c r="D182">
        <v>24</v>
      </c>
      <c r="E182">
        <v>89.4</v>
      </c>
      <c r="F182">
        <v>5.27</v>
      </c>
      <c r="G182">
        <v>1</v>
      </c>
      <c r="H182">
        <v>3.9</v>
      </c>
      <c r="I182">
        <v>855341.28</v>
      </c>
    </row>
    <row r="183" spans="1:9">
      <c r="A183">
        <v>45209.25</v>
      </c>
      <c r="B183">
        <v>9287</v>
      </c>
      <c r="C183">
        <v>0.14099999999999999</v>
      </c>
      <c r="D183">
        <v>22</v>
      </c>
      <c r="E183">
        <v>86.4</v>
      </c>
      <c r="F183">
        <v>13.22</v>
      </c>
      <c r="G183">
        <v>0</v>
      </c>
      <c r="H183">
        <v>3.6</v>
      </c>
      <c r="I183">
        <v>751393.88</v>
      </c>
    </row>
    <row r="184" spans="1:9">
      <c r="A184">
        <v>63010.23</v>
      </c>
      <c r="B184">
        <v>9812</v>
      </c>
      <c r="C184">
        <v>0.113</v>
      </c>
      <c r="D184">
        <v>24</v>
      </c>
      <c r="E184">
        <v>76.8</v>
      </c>
      <c r="F184">
        <v>1.02</v>
      </c>
      <c r="G184">
        <v>1</v>
      </c>
      <c r="H184">
        <v>3.8</v>
      </c>
      <c r="I184">
        <v>761077.08</v>
      </c>
    </row>
    <row r="185" spans="1:9">
      <c r="A185">
        <v>57948.88</v>
      </c>
      <c r="B185">
        <v>10741</v>
      </c>
      <c r="C185">
        <v>7.0000000000000007E-2</v>
      </c>
      <c r="D185">
        <v>25</v>
      </c>
      <c r="E185">
        <v>90.1</v>
      </c>
      <c r="F185">
        <v>4.03</v>
      </c>
      <c r="G185">
        <v>0</v>
      </c>
      <c r="H185">
        <v>3.1</v>
      </c>
      <c r="I185">
        <v>819660.59</v>
      </c>
    </row>
    <row r="186" spans="1:9">
      <c r="A186">
        <v>71941.62</v>
      </c>
      <c r="B186">
        <v>6084</v>
      </c>
      <c r="C186">
        <v>7.1999999999999995E-2</v>
      </c>
      <c r="D186">
        <v>13</v>
      </c>
      <c r="E186">
        <v>93.7</v>
      </c>
      <c r="F186">
        <v>2.34</v>
      </c>
      <c r="G186">
        <v>0</v>
      </c>
      <c r="H186">
        <v>4.4000000000000004</v>
      </c>
      <c r="I186">
        <v>681855.56</v>
      </c>
    </row>
    <row r="187" spans="1:9">
      <c r="A187">
        <v>57147.88</v>
      </c>
      <c r="B187">
        <v>5252</v>
      </c>
      <c r="C187">
        <v>0.161</v>
      </c>
      <c r="D187">
        <v>15</v>
      </c>
      <c r="E187">
        <v>95.5</v>
      </c>
      <c r="F187">
        <v>8.51</v>
      </c>
      <c r="G187">
        <v>0</v>
      </c>
      <c r="H187">
        <v>4.4000000000000004</v>
      </c>
      <c r="I187">
        <v>678311.17</v>
      </c>
    </row>
    <row r="188" spans="1:9">
      <c r="A188">
        <v>48031.74</v>
      </c>
      <c r="B188">
        <v>6516</v>
      </c>
      <c r="C188">
        <v>6.7000000000000004E-2</v>
      </c>
      <c r="D188">
        <v>14</v>
      </c>
      <c r="E188">
        <v>99</v>
      </c>
      <c r="F188">
        <v>0.48</v>
      </c>
      <c r="G188">
        <v>1</v>
      </c>
      <c r="H188">
        <v>4.3</v>
      </c>
      <c r="I188">
        <v>765906.95</v>
      </c>
    </row>
    <row r="189" spans="1:9">
      <c r="A189">
        <v>72784.800000000003</v>
      </c>
      <c r="B189">
        <v>7932</v>
      </c>
      <c r="C189">
        <v>9.4E-2</v>
      </c>
      <c r="D189">
        <v>20</v>
      </c>
      <c r="E189">
        <v>74.900000000000006</v>
      </c>
      <c r="F189">
        <v>13.62</v>
      </c>
      <c r="G189">
        <v>0</v>
      </c>
      <c r="H189">
        <v>4.2</v>
      </c>
      <c r="I189">
        <v>712546.38</v>
      </c>
    </row>
    <row r="190" spans="1:9">
      <c r="A190">
        <v>71641.899999999994</v>
      </c>
      <c r="B190">
        <v>3506</v>
      </c>
      <c r="C190">
        <v>0</v>
      </c>
      <c r="D190">
        <v>11</v>
      </c>
      <c r="E190">
        <v>86.4</v>
      </c>
      <c r="F190">
        <v>7.77</v>
      </c>
      <c r="G190">
        <v>0</v>
      </c>
      <c r="H190">
        <v>4.0999999999999996</v>
      </c>
      <c r="I190">
        <v>625993.82999999996</v>
      </c>
    </row>
    <row r="191" spans="1:9">
      <c r="A191">
        <v>55788.61</v>
      </c>
      <c r="B191">
        <v>2312</v>
      </c>
      <c r="C191">
        <v>5.8000000000000003E-2</v>
      </c>
      <c r="D191">
        <v>10</v>
      </c>
      <c r="E191">
        <v>91.3</v>
      </c>
      <c r="F191">
        <v>1.99</v>
      </c>
      <c r="G191">
        <v>0</v>
      </c>
      <c r="H191">
        <v>3.8</v>
      </c>
      <c r="I191">
        <v>550962.93000000005</v>
      </c>
    </row>
    <row r="192" spans="1:9">
      <c r="A192">
        <v>37705.879999999997</v>
      </c>
      <c r="B192">
        <v>1268</v>
      </c>
      <c r="C192">
        <v>0.25900000000000001</v>
      </c>
      <c r="D192">
        <v>9</v>
      </c>
      <c r="E192">
        <v>84.1</v>
      </c>
      <c r="F192">
        <v>4.7699999999999996</v>
      </c>
      <c r="G192">
        <v>0</v>
      </c>
      <c r="H192">
        <v>3.8</v>
      </c>
      <c r="I192">
        <v>443275.59</v>
      </c>
    </row>
    <row r="193" spans="1:9">
      <c r="A193">
        <v>54966.18</v>
      </c>
      <c r="B193">
        <v>4423</v>
      </c>
      <c r="C193">
        <v>0.186</v>
      </c>
      <c r="D193">
        <v>13</v>
      </c>
      <c r="E193">
        <v>88.7</v>
      </c>
      <c r="F193">
        <v>0.2</v>
      </c>
      <c r="G193">
        <v>0</v>
      </c>
      <c r="H193">
        <v>4.4000000000000004</v>
      </c>
      <c r="I193">
        <v>554012.06999999995</v>
      </c>
    </row>
    <row r="194" spans="1:9">
      <c r="A194">
        <v>81796.740000000005</v>
      </c>
      <c r="B194">
        <v>6177</v>
      </c>
      <c r="C194">
        <v>0.16400000000000001</v>
      </c>
      <c r="D194">
        <v>14</v>
      </c>
      <c r="E194">
        <v>87.9</v>
      </c>
      <c r="F194">
        <v>0.53</v>
      </c>
      <c r="G194">
        <v>0</v>
      </c>
      <c r="H194">
        <v>3.2</v>
      </c>
      <c r="I194">
        <v>643428.85</v>
      </c>
    </row>
    <row r="195" spans="1:9">
      <c r="A195">
        <v>51133.43</v>
      </c>
      <c r="B195">
        <v>5150</v>
      </c>
      <c r="C195">
        <v>0.15</v>
      </c>
      <c r="D195">
        <v>12</v>
      </c>
      <c r="E195">
        <v>88.5</v>
      </c>
      <c r="F195">
        <v>1.54</v>
      </c>
      <c r="G195">
        <v>0</v>
      </c>
      <c r="H195">
        <v>3.2</v>
      </c>
      <c r="I195">
        <v>611924.27</v>
      </c>
    </row>
    <row r="196" spans="1:9">
      <c r="A196">
        <v>40220.18</v>
      </c>
      <c r="B196">
        <v>3783</v>
      </c>
      <c r="C196">
        <v>8.8999999999999996E-2</v>
      </c>
      <c r="D196">
        <v>14</v>
      </c>
      <c r="E196">
        <v>86.6</v>
      </c>
      <c r="F196">
        <v>3.63</v>
      </c>
      <c r="G196">
        <v>0</v>
      </c>
      <c r="H196">
        <v>3.7</v>
      </c>
      <c r="I196">
        <v>559422.02</v>
      </c>
    </row>
    <row r="197" spans="1:9">
      <c r="A197">
        <v>41657.64</v>
      </c>
      <c r="B197">
        <v>3135</v>
      </c>
      <c r="C197">
        <v>0.22900000000000001</v>
      </c>
      <c r="D197">
        <v>7</v>
      </c>
      <c r="E197">
        <v>85.4</v>
      </c>
      <c r="F197">
        <v>13.48</v>
      </c>
      <c r="G197">
        <v>0</v>
      </c>
      <c r="H197">
        <f>3.924</f>
        <v>3.9239999999999999</v>
      </c>
      <c r="I197">
        <v>449465.06</v>
      </c>
    </row>
    <row r="198" spans="1:9">
      <c r="A198">
        <v>71851.45</v>
      </c>
      <c r="B198">
        <v>4970</v>
      </c>
      <c r="C198">
        <v>9.8000000000000004E-2</v>
      </c>
      <c r="D198">
        <v>11</v>
      </c>
      <c r="E198">
        <v>89.6</v>
      </c>
      <c r="F198">
        <v>0.2</v>
      </c>
      <c r="G198">
        <v>0</v>
      </c>
      <c r="H198">
        <v>4.2</v>
      </c>
      <c r="I198">
        <v>691447.43</v>
      </c>
    </row>
    <row r="199" spans="1:9">
      <c r="A199">
        <v>54002.83</v>
      </c>
      <c r="B199">
        <v>4366</v>
      </c>
      <c r="C199">
        <v>2.7E-2</v>
      </c>
      <c r="D199">
        <v>15</v>
      </c>
      <c r="E199">
        <v>90.6</v>
      </c>
      <c r="F199">
        <v>12.82</v>
      </c>
      <c r="G199">
        <v>0</v>
      </c>
      <c r="H199">
        <v>4.5999999999999996</v>
      </c>
      <c r="I199">
        <v>574066.61</v>
      </c>
    </row>
    <row r="200" spans="1:9">
      <c r="A200">
        <v>54479.33</v>
      </c>
      <c r="B200">
        <v>5012</v>
      </c>
      <c r="C200">
        <v>0.28399999999999997</v>
      </c>
      <c r="D200">
        <v>13</v>
      </c>
      <c r="E200">
        <v>86</v>
      </c>
      <c r="F200">
        <v>2.2400000000000002</v>
      </c>
      <c r="G200">
        <v>1</v>
      </c>
      <c r="H200">
        <v>4.3</v>
      </c>
      <c r="I200">
        <v>578949.84</v>
      </c>
    </row>
    <row r="201" spans="1:9">
      <c r="A201">
        <v>61391.8</v>
      </c>
      <c r="B201">
        <v>5575</v>
      </c>
      <c r="C201">
        <v>0.189</v>
      </c>
      <c r="D201">
        <v>18</v>
      </c>
      <c r="E201">
        <v>90</v>
      </c>
      <c r="F201">
        <v>1.8</v>
      </c>
      <c r="G201">
        <v>0</v>
      </c>
      <c r="H201">
        <v>4.8</v>
      </c>
      <c r="I201">
        <v>735786.64</v>
      </c>
    </row>
    <row r="202" spans="1:9">
      <c r="A202">
        <v>22312.93</v>
      </c>
      <c r="B202">
        <v>5955</v>
      </c>
      <c r="C202">
        <v>0.123</v>
      </c>
      <c r="D202">
        <v>13</v>
      </c>
      <c r="E202">
        <v>84.2</v>
      </c>
      <c r="F202">
        <v>0.41</v>
      </c>
      <c r="G202">
        <v>1</v>
      </c>
      <c r="H202">
        <v>4.5999999999999996</v>
      </c>
      <c r="I202">
        <v>598904.9</v>
      </c>
    </row>
    <row r="203" spans="1:9">
      <c r="A203">
        <v>78111.97</v>
      </c>
      <c r="B203">
        <v>6389</v>
      </c>
      <c r="C203">
        <v>0.15</v>
      </c>
      <c r="D203">
        <v>13</v>
      </c>
      <c r="E203">
        <v>83.9</v>
      </c>
      <c r="F203">
        <v>3.05</v>
      </c>
      <c r="G203">
        <v>0</v>
      </c>
      <c r="H203">
        <v>4.8</v>
      </c>
      <c r="I203">
        <v>787715.51</v>
      </c>
    </row>
    <row r="204" spans="1:9">
      <c r="A204">
        <v>35203.230000000003</v>
      </c>
      <c r="B204">
        <v>6896</v>
      </c>
      <c r="C204">
        <v>3.2000000000000001E-2</v>
      </c>
      <c r="D204">
        <v>14</v>
      </c>
      <c r="E204">
        <v>80.8</v>
      </c>
      <c r="F204">
        <v>8.44</v>
      </c>
      <c r="G204">
        <v>1</v>
      </c>
      <c r="H204">
        <v>5</v>
      </c>
      <c r="I204">
        <v>607084.92000000004</v>
      </c>
    </row>
    <row r="205" spans="1:9">
      <c r="A205">
        <v>64104.28</v>
      </c>
      <c r="B205">
        <v>6015</v>
      </c>
      <c r="C205">
        <v>0.127</v>
      </c>
      <c r="D205">
        <v>15</v>
      </c>
      <c r="E205">
        <v>88.7</v>
      </c>
      <c r="F205">
        <v>0.78</v>
      </c>
      <c r="G205">
        <v>0</v>
      </c>
      <c r="H205">
        <v>4</v>
      </c>
      <c r="I205">
        <v>650795.49</v>
      </c>
    </row>
    <row r="206" spans="1:9">
      <c r="A206">
        <v>92090.14</v>
      </c>
      <c r="B206">
        <v>9476</v>
      </c>
      <c r="C206">
        <v>7.0000000000000007E-2</v>
      </c>
      <c r="D206">
        <v>24</v>
      </c>
      <c r="E206">
        <v>94.3</v>
      </c>
      <c r="F206">
        <v>0.87</v>
      </c>
      <c r="G206">
        <v>0</v>
      </c>
      <c r="H206">
        <v>3.7</v>
      </c>
      <c r="I206">
        <v>825060.52</v>
      </c>
    </row>
    <row r="207" spans="1:9">
      <c r="A207">
        <v>54300.87</v>
      </c>
      <c r="B207">
        <v>7875</v>
      </c>
      <c r="C207">
        <v>0.107</v>
      </c>
      <c r="D207">
        <v>19</v>
      </c>
      <c r="E207">
        <v>94.1</v>
      </c>
      <c r="F207">
        <v>0.95</v>
      </c>
      <c r="G207">
        <v>0</v>
      </c>
      <c r="H207">
        <v>3.7</v>
      </c>
      <c r="I207">
        <v>795464.47</v>
      </c>
    </row>
    <row r="208" spans="1:9">
      <c r="A208">
        <v>37983.35</v>
      </c>
      <c r="B208">
        <v>9283</v>
      </c>
      <c r="C208">
        <v>0.14899999999999999</v>
      </c>
      <c r="D208">
        <v>19</v>
      </c>
      <c r="E208">
        <v>83.2</v>
      </c>
      <c r="F208">
        <v>3.82</v>
      </c>
      <c r="G208">
        <v>0</v>
      </c>
      <c r="H208">
        <v>3.7</v>
      </c>
      <c r="I208">
        <v>671868.59</v>
      </c>
    </row>
    <row r="209" spans="1:9">
      <c r="A209">
        <v>56413.83</v>
      </c>
      <c r="B209">
        <v>8303</v>
      </c>
      <c r="C209">
        <v>0.11600000000000001</v>
      </c>
      <c r="D209">
        <v>18</v>
      </c>
      <c r="E209">
        <v>93.6</v>
      </c>
      <c r="F209">
        <v>2.7</v>
      </c>
      <c r="G209">
        <v>0</v>
      </c>
      <c r="H209">
        <v>3.7</v>
      </c>
      <c r="I209">
        <v>675917.63</v>
      </c>
    </row>
    <row r="210" spans="1:9">
      <c r="A210">
        <v>63457.19</v>
      </c>
      <c r="B210">
        <v>10125</v>
      </c>
      <c r="C210">
        <v>9.7000000000000003E-2</v>
      </c>
      <c r="D210">
        <v>24</v>
      </c>
      <c r="E210">
        <v>87</v>
      </c>
      <c r="F210">
        <v>3.84</v>
      </c>
      <c r="G210">
        <v>1</v>
      </c>
      <c r="H210">
        <v>3.7</v>
      </c>
      <c r="I210">
        <v>810446.53</v>
      </c>
    </row>
    <row r="211" spans="1:9">
      <c r="A211">
        <v>62949.7</v>
      </c>
      <c r="B211">
        <v>9458</v>
      </c>
      <c r="C211">
        <v>0.17100000000000001</v>
      </c>
      <c r="D211">
        <v>19</v>
      </c>
      <c r="E211">
        <v>84.9</v>
      </c>
      <c r="F211">
        <v>5.09</v>
      </c>
      <c r="G211">
        <v>0</v>
      </c>
      <c r="H211">
        <v>3.3</v>
      </c>
      <c r="I211">
        <v>691288.19</v>
      </c>
    </row>
    <row r="212" spans="1:9">
      <c r="A212">
        <v>107970.19</v>
      </c>
      <c r="B212">
        <v>12870</v>
      </c>
      <c r="C212">
        <v>2.9000000000000001E-2</v>
      </c>
      <c r="D212">
        <v>31</v>
      </c>
      <c r="E212">
        <v>91.7</v>
      </c>
      <c r="F212">
        <v>3.82</v>
      </c>
      <c r="G212">
        <v>1</v>
      </c>
      <c r="H212">
        <v>3.7</v>
      </c>
      <c r="I212">
        <v>946833.54</v>
      </c>
    </row>
    <row r="213" spans="1:9">
      <c r="A213">
        <v>49405.75</v>
      </c>
      <c r="B213">
        <v>9752</v>
      </c>
      <c r="C213">
        <v>9.2999999999999999E-2</v>
      </c>
      <c r="D213">
        <v>21</v>
      </c>
      <c r="E213">
        <v>87</v>
      </c>
      <c r="F213">
        <v>12.28</v>
      </c>
      <c r="G213">
        <v>0</v>
      </c>
      <c r="H213">
        <v>4.0999999999999996</v>
      </c>
      <c r="I213">
        <v>761963.23</v>
      </c>
    </row>
    <row r="214" spans="1:9">
      <c r="A214">
        <v>50887.46</v>
      </c>
      <c r="B214">
        <v>9505</v>
      </c>
      <c r="C214">
        <v>9.0999999999999998E-2</v>
      </c>
      <c r="D214">
        <v>25</v>
      </c>
      <c r="E214">
        <v>89.7</v>
      </c>
      <c r="F214">
        <v>2.8</v>
      </c>
      <c r="G214">
        <v>0</v>
      </c>
      <c r="H214">
        <v>4.3</v>
      </c>
      <c r="I214">
        <v>812152.6</v>
      </c>
    </row>
    <row r="215" spans="1:9">
      <c r="A215">
        <v>41819.449999999997</v>
      </c>
      <c r="B215">
        <v>9412</v>
      </c>
      <c r="C215">
        <v>0.15</v>
      </c>
      <c r="D215">
        <v>22</v>
      </c>
      <c r="E215">
        <v>91</v>
      </c>
      <c r="F215">
        <v>3.67</v>
      </c>
      <c r="G215">
        <v>0</v>
      </c>
      <c r="H215">
        <v>4.2</v>
      </c>
      <c r="I215">
        <v>804975.5</v>
      </c>
    </row>
    <row r="216" spans="1:9">
      <c r="A216">
        <v>35296.54</v>
      </c>
      <c r="B216">
        <v>9644</v>
      </c>
      <c r="C216">
        <v>0</v>
      </c>
      <c r="D216">
        <v>22</v>
      </c>
      <c r="E216">
        <v>88</v>
      </c>
      <c r="F216">
        <v>2.81</v>
      </c>
      <c r="G216">
        <v>0</v>
      </c>
      <c r="H216">
        <v>4.7</v>
      </c>
      <c r="I216">
        <v>752321.72</v>
      </c>
    </row>
    <row r="217" spans="1:9">
      <c r="A217">
        <v>47391.09</v>
      </c>
      <c r="B217">
        <v>11224</v>
      </c>
      <c r="C217">
        <v>0.14699999999999999</v>
      </c>
      <c r="D217">
        <v>25</v>
      </c>
      <c r="E217">
        <v>88.4</v>
      </c>
      <c r="F217">
        <v>2.44</v>
      </c>
      <c r="G217">
        <v>0</v>
      </c>
      <c r="H217">
        <v>4.9000000000000004</v>
      </c>
      <c r="I217">
        <v>836908.24</v>
      </c>
    </row>
    <row r="218" spans="1:9">
      <c r="A218">
        <v>69180.539999999994</v>
      </c>
      <c r="B218">
        <v>5394</v>
      </c>
      <c r="C218">
        <v>0.126</v>
      </c>
      <c r="D218">
        <v>12</v>
      </c>
      <c r="E218">
        <v>82.9</v>
      </c>
      <c r="F218">
        <v>3.27</v>
      </c>
      <c r="G218">
        <v>0</v>
      </c>
      <c r="H218">
        <v>3.3</v>
      </c>
      <c r="I218">
        <v>674289.1</v>
      </c>
    </row>
    <row r="219" spans="1:9">
      <c r="A219">
        <v>33987.33</v>
      </c>
      <c r="B219">
        <v>5014</v>
      </c>
      <c r="C219">
        <v>0.246</v>
      </c>
      <c r="D219">
        <v>17</v>
      </c>
      <c r="E219">
        <v>94.3</v>
      </c>
      <c r="F219">
        <v>10.34</v>
      </c>
      <c r="G219">
        <v>0</v>
      </c>
      <c r="H219">
        <v>3.9</v>
      </c>
      <c r="I219">
        <v>622892.42000000004</v>
      </c>
    </row>
    <row r="220" spans="1:9">
      <c r="A220">
        <v>58785.33</v>
      </c>
      <c r="B220">
        <v>4467</v>
      </c>
      <c r="C220">
        <v>0.22900000000000001</v>
      </c>
      <c r="D220">
        <v>14</v>
      </c>
      <c r="E220">
        <v>90.7</v>
      </c>
      <c r="F220">
        <v>1.92</v>
      </c>
      <c r="G220">
        <v>0</v>
      </c>
      <c r="H220">
        <v>3.7</v>
      </c>
      <c r="I220">
        <v>673348.56</v>
      </c>
    </row>
    <row r="221" spans="1:9">
      <c r="A221">
        <v>16451.849999999999</v>
      </c>
      <c r="B221">
        <v>4678</v>
      </c>
      <c r="C221">
        <v>0.13300000000000001</v>
      </c>
      <c r="D221">
        <v>11</v>
      </c>
      <c r="E221">
        <v>95.9</v>
      </c>
      <c r="F221">
        <v>3.1</v>
      </c>
      <c r="G221">
        <v>0</v>
      </c>
      <c r="H221">
        <v>3.9</v>
      </c>
      <c r="I221">
        <v>606278.30000000005</v>
      </c>
    </row>
    <row r="222" spans="1:9">
      <c r="A222">
        <v>53367.73</v>
      </c>
      <c r="B222">
        <v>7291</v>
      </c>
      <c r="C222">
        <v>0.14599999999999999</v>
      </c>
      <c r="D222">
        <v>18</v>
      </c>
      <c r="E222">
        <v>90.6</v>
      </c>
      <c r="F222">
        <v>6.34</v>
      </c>
      <c r="G222">
        <v>1</v>
      </c>
      <c r="H222">
        <v>3.8</v>
      </c>
      <c r="I222">
        <v>712219.81</v>
      </c>
    </row>
    <row r="223" spans="1:9">
      <c r="A223">
        <v>27194.639999999999</v>
      </c>
      <c r="B223">
        <v>7404</v>
      </c>
      <c r="C223">
        <v>8.7999999999999995E-2</v>
      </c>
      <c r="D223">
        <v>18</v>
      </c>
      <c r="E223">
        <v>90.2</v>
      </c>
      <c r="F223">
        <v>1.2</v>
      </c>
      <c r="G223">
        <v>0</v>
      </c>
      <c r="H223">
        <v>3.4</v>
      </c>
      <c r="I223">
        <v>672670.54</v>
      </c>
    </row>
    <row r="224" spans="1:9">
      <c r="A224">
        <v>66962.740000000005</v>
      </c>
      <c r="B224">
        <v>7880</v>
      </c>
      <c r="C224">
        <v>0.11600000000000001</v>
      </c>
      <c r="D224">
        <v>19</v>
      </c>
      <c r="E224">
        <v>90.4</v>
      </c>
      <c r="F224">
        <v>4.5</v>
      </c>
      <c r="G224">
        <v>0</v>
      </c>
      <c r="H224">
        <v>3.3</v>
      </c>
      <c r="I224">
        <v>732667.92</v>
      </c>
    </row>
    <row r="225" spans="1:9">
      <c r="A225">
        <v>73540.990000000005</v>
      </c>
      <c r="B225">
        <v>8773</v>
      </c>
      <c r="C225">
        <v>3.5000000000000003E-2</v>
      </c>
      <c r="D225">
        <v>21</v>
      </c>
      <c r="E225">
        <v>84.4</v>
      </c>
      <c r="F225">
        <v>6.68</v>
      </c>
      <c r="G225">
        <v>0</v>
      </c>
      <c r="H225">
        <v>3.6</v>
      </c>
      <c r="I225">
        <v>723531.4</v>
      </c>
    </row>
    <row r="226" spans="1:9">
      <c r="A226">
        <v>68212.289999999994</v>
      </c>
      <c r="B226">
        <v>4713</v>
      </c>
      <c r="C226">
        <v>0.19800000000000001</v>
      </c>
      <c r="D226">
        <v>15</v>
      </c>
      <c r="E226">
        <v>82.6</v>
      </c>
      <c r="F226">
        <v>4.07</v>
      </c>
      <c r="G226">
        <v>1</v>
      </c>
      <c r="H226">
        <v>3</v>
      </c>
      <c r="I226">
        <v>641564.6</v>
      </c>
    </row>
    <row r="227" spans="1:9">
      <c r="A227">
        <v>57225.98</v>
      </c>
      <c r="B227">
        <v>2842</v>
      </c>
      <c r="C227">
        <v>0.112</v>
      </c>
      <c r="D227">
        <v>10</v>
      </c>
      <c r="E227">
        <v>79.5</v>
      </c>
      <c r="F227">
        <v>5.45</v>
      </c>
      <c r="G227">
        <v>0</v>
      </c>
      <c r="H227">
        <v>3.4</v>
      </c>
      <c r="I227">
        <v>536545.49</v>
      </c>
    </row>
    <row r="228" spans="1:9">
      <c r="A228">
        <v>42932.02</v>
      </c>
      <c r="B228">
        <v>3872</v>
      </c>
      <c r="C228">
        <v>0.17100000000000001</v>
      </c>
      <c r="D228">
        <v>12</v>
      </c>
      <c r="E228">
        <v>83.2</v>
      </c>
      <c r="F228">
        <v>15.58</v>
      </c>
      <c r="G228">
        <v>0</v>
      </c>
      <c r="H228">
        <v>3.3</v>
      </c>
      <c r="I228">
        <v>527681.56000000006</v>
      </c>
    </row>
    <row r="229" spans="1:9">
      <c r="A229">
        <v>39341.449999999997</v>
      </c>
      <c r="B229">
        <v>1375</v>
      </c>
      <c r="C229">
        <v>9.2999999999999999E-2</v>
      </c>
      <c r="D229">
        <v>5</v>
      </c>
      <c r="E229">
        <v>95</v>
      </c>
      <c r="F229">
        <v>5.32</v>
      </c>
      <c r="G229">
        <v>0</v>
      </c>
      <c r="H229">
        <f>3.924</f>
        <v>3.9239999999999999</v>
      </c>
      <c r="I229">
        <v>529598.93999999994</v>
      </c>
    </row>
    <row r="230" spans="1:9">
      <c r="A230">
        <v>37324.230000000003</v>
      </c>
      <c r="B230">
        <v>5957</v>
      </c>
      <c r="C230">
        <v>7.0999999999999994E-2</v>
      </c>
      <c r="D230">
        <v>12</v>
      </c>
      <c r="E230">
        <v>85.9</v>
      </c>
      <c r="F230">
        <v>0.37</v>
      </c>
      <c r="G230">
        <v>0</v>
      </c>
      <c r="H230">
        <v>3.8</v>
      </c>
      <c r="I230">
        <v>570963.31000000006</v>
      </c>
    </row>
    <row r="231" spans="1:9">
      <c r="A231">
        <v>113736</v>
      </c>
      <c r="B231">
        <v>8961</v>
      </c>
      <c r="C231">
        <v>0.20200000000000001</v>
      </c>
      <c r="D231">
        <v>24</v>
      </c>
      <c r="E231">
        <v>86.2</v>
      </c>
      <c r="F231">
        <v>21.63</v>
      </c>
      <c r="G231">
        <v>0</v>
      </c>
      <c r="H231">
        <v>4</v>
      </c>
      <c r="I231">
        <v>870937.4</v>
      </c>
    </row>
    <row r="232" spans="1:9">
      <c r="A232">
        <v>33173.949999999997</v>
      </c>
      <c r="B232">
        <v>6545</v>
      </c>
      <c r="C232">
        <v>0.16900000000000001</v>
      </c>
      <c r="D232">
        <v>15</v>
      </c>
      <c r="E232">
        <v>84.4</v>
      </c>
      <c r="F232">
        <v>2.48</v>
      </c>
      <c r="G232">
        <v>0</v>
      </c>
      <c r="H232">
        <v>3.9</v>
      </c>
      <c r="I232">
        <v>596969.27</v>
      </c>
    </row>
    <row r="233" spans="1:9">
      <c r="A233">
        <v>25818.080000000002</v>
      </c>
      <c r="B233">
        <v>5457</v>
      </c>
      <c r="C233">
        <v>0</v>
      </c>
      <c r="D233">
        <v>11</v>
      </c>
      <c r="E233">
        <v>95.4</v>
      </c>
      <c r="F233">
        <f>K71</f>
        <v>0</v>
      </c>
      <c r="G233">
        <v>0</v>
      </c>
      <c r="H233">
        <v>3.7</v>
      </c>
      <c r="I233">
        <v>647512.85</v>
      </c>
    </row>
    <row r="234" spans="1:9">
      <c r="A234">
        <v>47241.919999999998</v>
      </c>
      <c r="B234">
        <v>4264</v>
      </c>
      <c r="C234">
        <v>6.9000000000000006E-2</v>
      </c>
      <c r="D234">
        <v>13</v>
      </c>
      <c r="E234">
        <v>95.3</v>
      </c>
      <c r="F234">
        <v>0.85</v>
      </c>
      <c r="G234">
        <v>0</v>
      </c>
      <c r="H234">
        <v>4.3</v>
      </c>
      <c r="I234">
        <v>658072.14</v>
      </c>
    </row>
    <row r="235" spans="1:9">
      <c r="A235">
        <v>61650.79</v>
      </c>
      <c r="B235">
        <v>5321</v>
      </c>
      <c r="C235">
        <v>0.126</v>
      </c>
      <c r="D235">
        <v>17</v>
      </c>
      <c r="E235">
        <v>89.2</v>
      </c>
      <c r="F235">
        <v>2.13</v>
      </c>
      <c r="G235">
        <v>0</v>
      </c>
      <c r="H235">
        <v>4</v>
      </c>
      <c r="I235">
        <v>723305.11</v>
      </c>
    </row>
    <row r="236" spans="1:9">
      <c r="A236">
        <v>62582.71</v>
      </c>
      <c r="B236">
        <v>5479</v>
      </c>
      <c r="C236">
        <v>4.8000000000000001E-2</v>
      </c>
      <c r="D236">
        <v>16</v>
      </c>
      <c r="E236">
        <v>81.2</v>
      </c>
      <c r="F236">
        <v>1.46</v>
      </c>
      <c r="G236">
        <v>0</v>
      </c>
      <c r="H236">
        <v>4.5</v>
      </c>
      <c r="I236">
        <v>640666.53</v>
      </c>
    </row>
    <row r="237" spans="1:9">
      <c r="A237">
        <v>47944.14</v>
      </c>
      <c r="B237">
        <v>6169</v>
      </c>
      <c r="C237">
        <v>0.11899999999999999</v>
      </c>
      <c r="D237">
        <v>17</v>
      </c>
      <c r="E237">
        <v>92.2</v>
      </c>
      <c r="F237">
        <v>3.02</v>
      </c>
      <c r="G237">
        <v>0</v>
      </c>
      <c r="H237">
        <v>4.0999999999999996</v>
      </c>
      <c r="I237">
        <v>670629.48</v>
      </c>
    </row>
    <row r="238" spans="1:9">
      <c r="A238">
        <v>46495.4</v>
      </c>
      <c r="B238">
        <v>9908</v>
      </c>
      <c r="C238">
        <v>0.121</v>
      </c>
      <c r="D238">
        <v>22</v>
      </c>
      <c r="E238">
        <v>89.4</v>
      </c>
      <c r="F238">
        <v>3.22</v>
      </c>
      <c r="G238">
        <v>0</v>
      </c>
      <c r="H238">
        <v>3.7</v>
      </c>
      <c r="I238">
        <v>721079.35</v>
      </c>
    </row>
    <row r="239" spans="1:9">
      <c r="A239">
        <v>72961.95</v>
      </c>
      <c r="B239">
        <v>9996</v>
      </c>
      <c r="C239">
        <v>0.106</v>
      </c>
      <c r="D239">
        <v>22</v>
      </c>
      <c r="E239">
        <v>89.1</v>
      </c>
      <c r="F239">
        <v>15.66</v>
      </c>
      <c r="G239">
        <v>0</v>
      </c>
      <c r="H239">
        <v>3.4</v>
      </c>
      <c r="I239">
        <v>810355.02</v>
      </c>
    </row>
    <row r="240" spans="1:9">
      <c r="A240">
        <v>59060.05</v>
      </c>
      <c r="B240">
        <v>9702</v>
      </c>
      <c r="C240">
        <v>0.20100000000000001</v>
      </c>
      <c r="D240">
        <v>23</v>
      </c>
      <c r="E240">
        <v>80.900000000000006</v>
      </c>
      <c r="F240">
        <v>6.96</v>
      </c>
      <c r="G240">
        <v>0</v>
      </c>
      <c r="H240">
        <v>3.2</v>
      </c>
      <c r="I240">
        <v>761919.25</v>
      </c>
    </row>
    <row r="241" spans="1:9">
      <c r="A241">
        <v>26248.1</v>
      </c>
      <c r="B241">
        <v>9314</v>
      </c>
      <c r="C241">
        <v>0.186</v>
      </c>
      <c r="D241">
        <v>21</v>
      </c>
      <c r="E241">
        <v>83.7</v>
      </c>
      <c r="F241">
        <v>4.62</v>
      </c>
      <c r="G241">
        <v>0</v>
      </c>
      <c r="H241">
        <v>3.3</v>
      </c>
      <c r="I241">
        <v>737070.18</v>
      </c>
    </row>
    <row r="242" spans="1:9">
      <c r="A242">
        <v>69900.12</v>
      </c>
      <c r="B242">
        <v>8055</v>
      </c>
      <c r="C242">
        <v>0.28100000000000003</v>
      </c>
      <c r="D242">
        <v>22</v>
      </c>
      <c r="E242">
        <v>85.6</v>
      </c>
      <c r="F242">
        <v>10.68</v>
      </c>
      <c r="G242">
        <v>1</v>
      </c>
      <c r="H242">
        <v>2.9</v>
      </c>
      <c r="I242">
        <v>776992.93</v>
      </c>
    </row>
    <row r="243" spans="1:9">
      <c r="A243">
        <v>51781.599999999999</v>
      </c>
      <c r="B243">
        <v>5648</v>
      </c>
      <c r="C243">
        <v>5.8999999999999997E-2</v>
      </c>
      <c r="D243">
        <v>13</v>
      </c>
      <c r="E243">
        <v>85.5</v>
      </c>
      <c r="F243">
        <v>4.04</v>
      </c>
      <c r="G243">
        <v>0</v>
      </c>
      <c r="H243">
        <v>3.7</v>
      </c>
      <c r="I243">
        <v>676337.41</v>
      </c>
    </row>
    <row r="244" spans="1:9">
      <c r="A244">
        <v>70799.64</v>
      </c>
      <c r="B244">
        <v>10076</v>
      </c>
      <c r="C244">
        <v>0.152</v>
      </c>
      <c r="D244">
        <v>24</v>
      </c>
      <c r="E244">
        <v>84.8</v>
      </c>
      <c r="F244">
        <v>1.87</v>
      </c>
      <c r="G244">
        <v>0</v>
      </c>
      <c r="H244">
        <v>3.5</v>
      </c>
      <c r="I244">
        <v>828219.67</v>
      </c>
    </row>
    <row r="245" spans="1:9">
      <c r="A245">
        <v>53546.34</v>
      </c>
      <c r="B245">
        <v>8004</v>
      </c>
      <c r="C245">
        <v>0</v>
      </c>
      <c r="D245">
        <v>21</v>
      </c>
      <c r="E245">
        <v>95.2</v>
      </c>
      <c r="F245">
        <v>2.83</v>
      </c>
      <c r="G245">
        <v>0</v>
      </c>
      <c r="H245">
        <v>3</v>
      </c>
      <c r="I245">
        <v>763159.92</v>
      </c>
    </row>
    <row r="246" spans="1:9">
      <c r="A246">
        <v>76942.2</v>
      </c>
      <c r="B246">
        <v>8934</v>
      </c>
      <c r="C246">
        <v>8.4000000000000005E-2</v>
      </c>
      <c r="D246">
        <v>20</v>
      </c>
      <c r="E246">
        <v>91</v>
      </c>
      <c r="F246">
        <v>0.95</v>
      </c>
      <c r="G246">
        <v>0</v>
      </c>
      <c r="H246">
        <v>3.2</v>
      </c>
      <c r="I246">
        <v>802001.68</v>
      </c>
    </row>
    <row r="247" spans="1:9">
      <c r="A247">
        <v>48060.78</v>
      </c>
      <c r="B247">
        <v>8733</v>
      </c>
      <c r="C247">
        <v>0</v>
      </c>
      <c r="D247">
        <v>20</v>
      </c>
      <c r="E247">
        <v>89.9</v>
      </c>
      <c r="F247">
        <v>0.8</v>
      </c>
      <c r="G247">
        <v>0</v>
      </c>
      <c r="H247">
        <v>3.4</v>
      </c>
      <c r="I247">
        <v>750471.34</v>
      </c>
    </row>
    <row r="248" spans="1:9">
      <c r="A248">
        <v>57390.04</v>
      </c>
      <c r="B248">
        <v>7374</v>
      </c>
      <c r="C248">
        <v>0.21</v>
      </c>
      <c r="D248">
        <v>21</v>
      </c>
      <c r="E248">
        <v>91.8</v>
      </c>
      <c r="F248">
        <v>0.2</v>
      </c>
      <c r="G248">
        <v>0</v>
      </c>
      <c r="H248">
        <v>3.1</v>
      </c>
      <c r="I248">
        <v>679230.86</v>
      </c>
    </row>
    <row r="249" spans="1:9">
      <c r="A249">
        <v>21536.18</v>
      </c>
      <c r="B249">
        <v>8119</v>
      </c>
      <c r="C249">
        <v>0.22700000000000001</v>
      </c>
      <c r="D249">
        <v>20</v>
      </c>
      <c r="E249">
        <v>90.4</v>
      </c>
      <c r="F249">
        <v>1.7</v>
      </c>
      <c r="G249">
        <v>0</v>
      </c>
      <c r="H249">
        <v>3.3</v>
      </c>
      <c r="I249">
        <v>679888.74</v>
      </c>
    </row>
    <row r="250" spans="1:9">
      <c r="A250">
        <v>40923.67</v>
      </c>
      <c r="B250">
        <v>3875</v>
      </c>
      <c r="C250">
        <v>0.15</v>
      </c>
      <c r="D250">
        <v>10</v>
      </c>
      <c r="E250">
        <v>96.1</v>
      </c>
      <c r="F250">
        <f>K88</f>
        <v>0</v>
      </c>
      <c r="G250">
        <v>0</v>
      </c>
      <c r="H250">
        <v>3.8</v>
      </c>
      <c r="I250">
        <v>606783.67000000004</v>
      </c>
    </row>
    <row r="251" spans="1:9">
      <c r="A251">
        <v>72932.55</v>
      </c>
      <c r="B251">
        <v>5765</v>
      </c>
      <c r="C251">
        <v>2.5999999999999999E-2</v>
      </c>
      <c r="D251">
        <v>17</v>
      </c>
      <c r="E251">
        <v>81.8</v>
      </c>
      <c r="F251">
        <v>5.0999999999999996</v>
      </c>
      <c r="G251">
        <v>0</v>
      </c>
      <c r="H251">
        <v>3.6</v>
      </c>
      <c r="I251">
        <v>642751.42000000004</v>
      </c>
    </row>
    <row r="252" spans="1:9">
      <c r="A252">
        <v>38361.93</v>
      </c>
      <c r="B252">
        <v>6322</v>
      </c>
      <c r="C252">
        <v>0.27300000000000002</v>
      </c>
      <c r="D252">
        <v>15</v>
      </c>
      <c r="E252">
        <v>88.4</v>
      </c>
      <c r="F252">
        <v>0.83</v>
      </c>
      <c r="G252">
        <v>0</v>
      </c>
      <c r="H252">
        <v>4</v>
      </c>
      <c r="I252">
        <v>647953.78</v>
      </c>
    </row>
    <row r="253" spans="1:9">
      <c r="A253">
        <v>97480.94</v>
      </c>
      <c r="B253">
        <v>6840</v>
      </c>
      <c r="C253">
        <v>8.6999999999999994E-2</v>
      </c>
      <c r="D253">
        <v>14</v>
      </c>
      <c r="E253">
        <v>79.2</v>
      </c>
      <c r="F253">
        <v>1.1399999999999999</v>
      </c>
      <c r="G253">
        <v>0</v>
      </c>
      <c r="H253">
        <v>4</v>
      </c>
      <c r="I253">
        <v>729440.45</v>
      </c>
    </row>
    <row r="254" spans="1:9">
      <c r="A254">
        <v>81801.8</v>
      </c>
      <c r="B254">
        <v>6782</v>
      </c>
      <c r="C254">
        <v>0.05</v>
      </c>
      <c r="D254">
        <v>16</v>
      </c>
      <c r="E254">
        <v>99</v>
      </c>
      <c r="F254">
        <v>9.5399999999999991</v>
      </c>
      <c r="G254">
        <v>0</v>
      </c>
      <c r="H254">
        <v>3.7</v>
      </c>
      <c r="I254">
        <v>764949</v>
      </c>
    </row>
    <row r="255" spans="1:9">
      <c r="A255">
        <v>63582.11</v>
      </c>
      <c r="B255">
        <v>6856</v>
      </c>
      <c r="C255">
        <v>7.3999999999999996E-2</v>
      </c>
      <c r="D255">
        <v>17</v>
      </c>
      <c r="E255">
        <v>89.5</v>
      </c>
      <c r="F255">
        <v>5.48</v>
      </c>
      <c r="G255">
        <v>0</v>
      </c>
      <c r="H255">
        <v>3.2</v>
      </c>
      <c r="I255">
        <v>799046.94</v>
      </c>
    </row>
    <row r="256" spans="1:9">
      <c r="A256">
        <v>75412.740000000005</v>
      </c>
      <c r="B256">
        <v>5641</v>
      </c>
      <c r="C256">
        <v>5.8999999999999997E-2</v>
      </c>
      <c r="D256">
        <v>13</v>
      </c>
      <c r="E256">
        <v>87.9</v>
      </c>
      <c r="F256">
        <v>0.84</v>
      </c>
      <c r="G256">
        <v>0</v>
      </c>
      <c r="H256">
        <v>3.6</v>
      </c>
      <c r="I256">
        <v>720079.54</v>
      </c>
    </row>
    <row r="257" spans="1:9">
      <c r="A257">
        <v>36290.080000000002</v>
      </c>
      <c r="B257">
        <v>5787</v>
      </c>
      <c r="C257">
        <v>0</v>
      </c>
      <c r="D257">
        <v>17</v>
      </c>
      <c r="E257">
        <v>88.3</v>
      </c>
      <c r="F257">
        <v>4.1900000000000004</v>
      </c>
      <c r="G257">
        <v>0</v>
      </c>
      <c r="H257">
        <v>4.0999999999999996</v>
      </c>
      <c r="I257">
        <v>612390.14</v>
      </c>
    </row>
    <row r="258" spans="1:9">
      <c r="A258">
        <v>65272.58</v>
      </c>
      <c r="B258">
        <v>8165</v>
      </c>
      <c r="C258">
        <v>5.0999999999999997E-2</v>
      </c>
      <c r="D258">
        <v>19</v>
      </c>
      <c r="E258">
        <v>87.8</v>
      </c>
      <c r="F258">
        <v>1.26</v>
      </c>
      <c r="G258">
        <v>1</v>
      </c>
      <c r="H258">
        <v>4.3</v>
      </c>
      <c r="I258">
        <v>840108.12</v>
      </c>
    </row>
    <row r="259" spans="1:9">
      <c r="A259">
        <v>28670.43</v>
      </c>
      <c r="B259">
        <v>7574</v>
      </c>
      <c r="C259">
        <v>0.114</v>
      </c>
      <c r="D259">
        <v>19</v>
      </c>
      <c r="E259">
        <v>82.7</v>
      </c>
      <c r="F259">
        <v>2.74</v>
      </c>
      <c r="G259">
        <v>0</v>
      </c>
      <c r="H259">
        <v>4.5999999999999996</v>
      </c>
      <c r="I259">
        <v>697888.09</v>
      </c>
    </row>
    <row r="260" spans="1:9">
      <c r="A260">
        <v>44189.34</v>
      </c>
      <c r="B260">
        <v>8634</v>
      </c>
      <c r="C260">
        <v>0.14299999999999999</v>
      </c>
      <c r="D260">
        <v>19</v>
      </c>
      <c r="E260">
        <v>87.5</v>
      </c>
      <c r="F260">
        <v>3.69</v>
      </c>
      <c r="G260">
        <v>0</v>
      </c>
      <c r="H260">
        <v>4.4000000000000004</v>
      </c>
      <c r="I260">
        <v>746115.59</v>
      </c>
    </row>
    <row r="261" spans="1:9">
      <c r="A261">
        <v>38397.82</v>
      </c>
      <c r="B261">
        <v>7836</v>
      </c>
      <c r="C261">
        <v>7.0000000000000001E-3</v>
      </c>
      <c r="D261">
        <v>21</v>
      </c>
      <c r="E261">
        <v>92.2</v>
      </c>
      <c r="F261">
        <v>1.82</v>
      </c>
      <c r="G261">
        <v>0</v>
      </c>
      <c r="H261">
        <v>3.6</v>
      </c>
      <c r="I261">
        <v>776110.32</v>
      </c>
    </row>
    <row r="262" spans="1:9">
      <c r="A262">
        <v>14519.37</v>
      </c>
      <c r="B262">
        <v>3047</v>
      </c>
      <c r="C262">
        <v>0.13500000000000001</v>
      </c>
      <c r="D262">
        <v>10</v>
      </c>
      <c r="E262">
        <v>90.3</v>
      </c>
      <c r="F262">
        <v>6.62</v>
      </c>
      <c r="G262">
        <v>0</v>
      </c>
      <c r="H262">
        <v>4.2</v>
      </c>
      <c r="I262">
        <v>528852.62</v>
      </c>
    </row>
    <row r="263" spans="1:9">
      <c r="A263">
        <v>43288.2</v>
      </c>
      <c r="B263">
        <v>4783</v>
      </c>
      <c r="C263">
        <v>0.16900000000000001</v>
      </c>
      <c r="D263">
        <v>13</v>
      </c>
      <c r="E263">
        <v>87.3</v>
      </c>
      <c r="F263">
        <f>K101</f>
        <v>0</v>
      </c>
      <c r="G263">
        <v>0</v>
      </c>
      <c r="H263">
        <v>4.2</v>
      </c>
      <c r="I263">
        <v>605751.32999999996</v>
      </c>
    </row>
    <row r="264" spans="1:9">
      <c r="A264">
        <v>51450.55</v>
      </c>
      <c r="B264">
        <v>4902</v>
      </c>
      <c r="C264">
        <v>8.5999999999999993E-2</v>
      </c>
      <c r="D264">
        <v>11</v>
      </c>
      <c r="E264">
        <v>83.7</v>
      </c>
      <c r="F264">
        <v>6.92</v>
      </c>
      <c r="G264">
        <v>1</v>
      </c>
      <c r="H264">
        <v>4.2</v>
      </c>
      <c r="I264">
        <v>677640.65</v>
      </c>
    </row>
    <row r="265" spans="1:9">
      <c r="A265">
        <v>58688.26</v>
      </c>
      <c r="B265">
        <v>4022</v>
      </c>
      <c r="C265">
        <v>0.217</v>
      </c>
      <c r="D265">
        <v>12</v>
      </c>
      <c r="E265">
        <v>93.8</v>
      </c>
      <c r="F265">
        <v>11.78</v>
      </c>
      <c r="G265">
        <v>0</v>
      </c>
      <c r="H265">
        <v>3.7</v>
      </c>
      <c r="I265">
        <v>636613.23</v>
      </c>
    </row>
    <row r="266" spans="1:9">
      <c r="A266">
        <v>58981.91</v>
      </c>
      <c r="B266">
        <v>7324</v>
      </c>
      <c r="C266">
        <v>9.4E-2</v>
      </c>
      <c r="D266">
        <v>15</v>
      </c>
      <c r="E266">
        <v>95.8</v>
      </c>
      <c r="F266">
        <v>0.5</v>
      </c>
      <c r="G266">
        <v>0</v>
      </c>
      <c r="H266">
        <v>3.5</v>
      </c>
      <c r="I266">
        <v>708985.19</v>
      </c>
    </row>
    <row r="267" spans="1:9">
      <c r="A267">
        <v>73454.539999999994</v>
      </c>
      <c r="B267">
        <v>8129</v>
      </c>
      <c r="C267">
        <v>0.21099999999999999</v>
      </c>
      <c r="D267">
        <v>20</v>
      </c>
      <c r="E267">
        <v>85.2</v>
      </c>
      <c r="F267">
        <v>0.88</v>
      </c>
      <c r="G267">
        <v>0</v>
      </c>
      <c r="H267">
        <v>3.7</v>
      </c>
      <c r="I267">
        <v>767792.94</v>
      </c>
    </row>
    <row r="268" spans="1:9">
      <c r="A268">
        <v>56602.39</v>
      </c>
      <c r="B268">
        <v>7969</v>
      </c>
      <c r="C268">
        <v>0.17</v>
      </c>
      <c r="D268">
        <v>21</v>
      </c>
      <c r="E268">
        <v>88.3</v>
      </c>
      <c r="F268">
        <v>2.25</v>
      </c>
      <c r="G268">
        <v>0</v>
      </c>
      <c r="H268">
        <v>3.7</v>
      </c>
      <c r="I268">
        <v>745580.51</v>
      </c>
    </row>
    <row r="269" spans="1:9">
      <c r="A269">
        <v>67722.289999999994</v>
      </c>
      <c r="B269">
        <v>7240</v>
      </c>
      <c r="C269">
        <v>2.5999999999999999E-2</v>
      </c>
      <c r="D269">
        <v>15</v>
      </c>
      <c r="E269">
        <v>92.9</v>
      </c>
      <c r="F269">
        <v>0.28999999999999998</v>
      </c>
      <c r="G269">
        <v>0</v>
      </c>
      <c r="H269">
        <v>3.5</v>
      </c>
      <c r="I269">
        <v>762328.31</v>
      </c>
    </row>
    <row r="270" spans="1:9">
      <c r="A270">
        <v>48752.92</v>
      </c>
      <c r="B270">
        <v>8052</v>
      </c>
      <c r="C270">
        <v>0.106</v>
      </c>
      <c r="D270">
        <v>16</v>
      </c>
      <c r="E270">
        <v>94.9</v>
      </c>
      <c r="F270">
        <v>0.65</v>
      </c>
      <c r="G270">
        <v>0</v>
      </c>
      <c r="H270">
        <v>3.6</v>
      </c>
      <c r="I270">
        <v>660633.99</v>
      </c>
    </row>
    <row r="271" spans="1:9">
      <c r="A271">
        <v>23914.97</v>
      </c>
      <c r="B271">
        <v>8018</v>
      </c>
      <c r="C271">
        <v>0.13900000000000001</v>
      </c>
      <c r="D271">
        <v>20</v>
      </c>
      <c r="E271">
        <v>89</v>
      </c>
      <c r="F271">
        <v>0.2</v>
      </c>
      <c r="G271">
        <v>0</v>
      </c>
      <c r="H271">
        <v>3.5</v>
      </c>
      <c r="I271">
        <v>739374.56</v>
      </c>
    </row>
    <row r="272" spans="1:9">
      <c r="A272">
        <v>61995.3</v>
      </c>
      <c r="B272">
        <v>10192</v>
      </c>
      <c r="C272">
        <v>0.19800000000000001</v>
      </c>
      <c r="D272">
        <v>21</v>
      </c>
      <c r="E272">
        <v>87.6</v>
      </c>
      <c r="F272">
        <v>3.63</v>
      </c>
      <c r="G272">
        <v>1</v>
      </c>
      <c r="H272">
        <v>3.8</v>
      </c>
      <c r="I272">
        <v>799756.46</v>
      </c>
    </row>
    <row r="273" spans="1:9">
      <c r="A273">
        <v>29344.93</v>
      </c>
      <c r="B273">
        <v>7446</v>
      </c>
      <c r="C273">
        <v>0.111</v>
      </c>
      <c r="D273">
        <v>15</v>
      </c>
      <c r="E273">
        <v>86.2</v>
      </c>
      <c r="F273">
        <v>0.2</v>
      </c>
      <c r="G273">
        <v>0</v>
      </c>
      <c r="H273">
        <v>3.2</v>
      </c>
      <c r="I273">
        <v>593343</v>
      </c>
    </row>
    <row r="274" spans="1:9">
      <c r="A274">
        <v>50532.17</v>
      </c>
      <c r="B274">
        <v>5689</v>
      </c>
      <c r="C274">
        <v>5.1999999999999998E-2</v>
      </c>
      <c r="D274">
        <v>17</v>
      </c>
      <c r="E274">
        <v>85.6</v>
      </c>
      <c r="F274">
        <v>6.23</v>
      </c>
      <c r="G274">
        <v>0</v>
      </c>
      <c r="H274">
        <v>3.3</v>
      </c>
      <c r="I274">
        <v>645039.97</v>
      </c>
    </row>
    <row r="275" spans="1:9">
      <c r="A275">
        <v>17562.57</v>
      </c>
      <c r="B275">
        <v>3326</v>
      </c>
      <c r="C275">
        <v>0.153</v>
      </c>
      <c r="D275">
        <v>14</v>
      </c>
      <c r="E275">
        <v>88.1</v>
      </c>
      <c r="F275">
        <v>1.04</v>
      </c>
      <c r="G275">
        <v>0</v>
      </c>
      <c r="H275">
        <v>3.1</v>
      </c>
      <c r="I275">
        <v>561597.32999999996</v>
      </c>
    </row>
    <row r="276" spans="1:9">
      <c r="A276">
        <v>47648.71</v>
      </c>
      <c r="B276">
        <v>5767</v>
      </c>
      <c r="C276">
        <v>0.14099999999999999</v>
      </c>
      <c r="D276">
        <v>17</v>
      </c>
      <c r="E276">
        <v>89.8</v>
      </c>
      <c r="F276">
        <v>1.76</v>
      </c>
      <c r="G276">
        <v>0</v>
      </c>
      <c r="H276">
        <v>3.1</v>
      </c>
      <c r="I276">
        <v>635837.74</v>
      </c>
    </row>
    <row r="277" spans="1:9">
      <c r="A277">
        <v>38297.58</v>
      </c>
      <c r="B277">
        <v>5893</v>
      </c>
      <c r="C277">
        <v>0.247</v>
      </c>
      <c r="D277">
        <v>18</v>
      </c>
      <c r="E277">
        <v>77.599999999999994</v>
      </c>
      <c r="F277">
        <v>2.86</v>
      </c>
      <c r="G277">
        <v>0</v>
      </c>
      <c r="H277">
        <v>3</v>
      </c>
      <c r="I277">
        <v>686737.87</v>
      </c>
    </row>
    <row r="278" spans="1:9">
      <c r="A278">
        <v>61784.11</v>
      </c>
      <c r="B278">
        <v>8564</v>
      </c>
      <c r="C278">
        <v>0.13</v>
      </c>
      <c r="D278">
        <v>17</v>
      </c>
      <c r="E278">
        <v>87.4</v>
      </c>
      <c r="F278">
        <v>18.14</v>
      </c>
      <c r="G278">
        <v>1</v>
      </c>
      <c r="H278">
        <v>3.4</v>
      </c>
      <c r="I278">
        <v>673076.34</v>
      </c>
    </row>
    <row r="279" spans="1:9">
      <c r="A279">
        <v>36832.33</v>
      </c>
      <c r="B279">
        <v>8001</v>
      </c>
      <c r="C279">
        <v>0</v>
      </c>
      <c r="D279">
        <v>19</v>
      </c>
      <c r="E279">
        <v>88.7</v>
      </c>
      <c r="F279">
        <v>3.39</v>
      </c>
      <c r="G279">
        <v>0</v>
      </c>
      <c r="H279">
        <v>4</v>
      </c>
      <c r="I279">
        <v>738548.42</v>
      </c>
    </row>
    <row r="280" spans="1:9">
      <c r="A280">
        <v>48609.41</v>
      </c>
      <c r="B280">
        <v>9324</v>
      </c>
      <c r="C280">
        <v>0.21299999999999999</v>
      </c>
      <c r="D280">
        <v>18</v>
      </c>
      <c r="E280">
        <v>86.5</v>
      </c>
      <c r="F280">
        <v>1.44</v>
      </c>
      <c r="G280">
        <v>0</v>
      </c>
      <c r="H280">
        <v>3.9</v>
      </c>
      <c r="I280">
        <v>756619.77</v>
      </c>
    </row>
    <row r="281" spans="1:9">
      <c r="A281">
        <v>70284.06</v>
      </c>
      <c r="B281">
        <v>9109</v>
      </c>
      <c r="C281">
        <v>4.0000000000000001E-3</v>
      </c>
      <c r="D281">
        <v>23</v>
      </c>
      <c r="E281">
        <v>87</v>
      </c>
      <c r="F281">
        <v>3.65</v>
      </c>
      <c r="G281">
        <v>0</v>
      </c>
      <c r="H281">
        <v>3.7</v>
      </c>
      <c r="I281">
        <v>761122.42</v>
      </c>
    </row>
    <row r="282" spans="1:9">
      <c r="A282">
        <v>45940.39</v>
      </c>
      <c r="B282">
        <v>4022</v>
      </c>
      <c r="C282">
        <v>6.9000000000000006E-2</v>
      </c>
      <c r="D282">
        <v>10</v>
      </c>
      <c r="E282">
        <v>83</v>
      </c>
      <c r="F282">
        <v>1.23</v>
      </c>
      <c r="G282">
        <v>1</v>
      </c>
      <c r="H282">
        <v>3.8</v>
      </c>
      <c r="I282">
        <v>524899.56999999995</v>
      </c>
    </row>
    <row r="283" spans="1:9">
      <c r="A283">
        <v>34771.26</v>
      </c>
      <c r="B283">
        <v>4355</v>
      </c>
      <c r="C283">
        <v>5.0999999999999997E-2</v>
      </c>
      <c r="D283">
        <v>15</v>
      </c>
      <c r="E283">
        <v>87.9</v>
      </c>
      <c r="F283">
        <v>3.09</v>
      </c>
      <c r="G283">
        <v>0</v>
      </c>
      <c r="H283">
        <v>4</v>
      </c>
      <c r="I283">
        <v>555557.77</v>
      </c>
    </row>
    <row r="284" spans="1:9">
      <c r="A284">
        <v>66104.19</v>
      </c>
      <c r="B284">
        <v>5745</v>
      </c>
      <c r="C284">
        <v>7.0000000000000007E-2</v>
      </c>
      <c r="D284">
        <v>17</v>
      </c>
      <c r="E284">
        <v>95.8</v>
      </c>
      <c r="F284">
        <v>3.15</v>
      </c>
      <c r="G284">
        <v>0</v>
      </c>
      <c r="H284">
        <v>4</v>
      </c>
      <c r="I284">
        <v>714083.68</v>
      </c>
    </row>
    <row r="285" spans="1:9">
      <c r="A285">
        <v>18599.21</v>
      </c>
      <c r="B285">
        <v>3027</v>
      </c>
      <c r="C285">
        <v>0.122</v>
      </c>
      <c r="D285">
        <v>11</v>
      </c>
      <c r="E285">
        <v>80.900000000000006</v>
      </c>
      <c r="F285">
        <v>6.44</v>
      </c>
      <c r="G285">
        <v>0</v>
      </c>
      <c r="H285">
        <v>4.2</v>
      </c>
      <c r="I285">
        <v>497439.82</v>
      </c>
    </row>
    <row r="286" spans="1:9">
      <c r="A286">
        <v>60183.06</v>
      </c>
      <c r="B286">
        <v>5562</v>
      </c>
      <c r="C286">
        <v>8.9999999999999993E-3</v>
      </c>
      <c r="D286">
        <v>13</v>
      </c>
      <c r="E286">
        <v>86.3</v>
      </c>
      <c r="F286">
        <v>0.2</v>
      </c>
      <c r="G286">
        <v>1</v>
      </c>
      <c r="H286">
        <v>4.5</v>
      </c>
      <c r="I286">
        <v>636775.66</v>
      </c>
    </row>
    <row r="287" spans="1:9">
      <c r="A287">
        <v>74539.14</v>
      </c>
      <c r="B287">
        <v>4487</v>
      </c>
      <c r="C287">
        <v>0.14000000000000001</v>
      </c>
      <c r="D287">
        <v>10</v>
      </c>
      <c r="E287">
        <v>90.4</v>
      </c>
      <c r="F287">
        <v>0.59</v>
      </c>
      <c r="G287">
        <v>0</v>
      </c>
      <c r="H287">
        <v>4.5</v>
      </c>
      <c r="I287">
        <v>633009.53</v>
      </c>
    </row>
    <row r="288" spans="1:9">
      <c r="A288">
        <v>55371.97</v>
      </c>
      <c r="B288">
        <v>4162</v>
      </c>
      <c r="C288">
        <v>0.183</v>
      </c>
      <c r="D288">
        <v>11</v>
      </c>
      <c r="E288">
        <v>92</v>
      </c>
      <c r="F288">
        <v>0.2</v>
      </c>
      <c r="G288">
        <v>1</v>
      </c>
      <c r="H288">
        <v>4.2</v>
      </c>
      <c r="I288">
        <v>609949</v>
      </c>
    </row>
    <row r="289" spans="1:9">
      <c r="A289">
        <v>40928.69</v>
      </c>
      <c r="B289">
        <v>4094</v>
      </c>
      <c r="C289">
        <v>0.17399999999999999</v>
      </c>
      <c r="D289">
        <v>13</v>
      </c>
      <c r="E289">
        <v>82.4</v>
      </c>
      <c r="F289">
        <v>1.36</v>
      </c>
      <c r="G289">
        <v>0</v>
      </c>
      <c r="H289">
        <v>4.8</v>
      </c>
      <c r="I289">
        <v>548103.69999999995</v>
      </c>
    </row>
    <row r="290" spans="1:9">
      <c r="A290">
        <v>70012.41</v>
      </c>
      <c r="B290">
        <v>8484</v>
      </c>
      <c r="C290">
        <v>0.27300000000000002</v>
      </c>
      <c r="D290">
        <v>23</v>
      </c>
      <c r="E290">
        <v>72.900000000000006</v>
      </c>
      <c r="F290">
        <v>3.34</v>
      </c>
      <c r="G290">
        <v>0</v>
      </c>
      <c r="H290">
        <v>3.7</v>
      </c>
      <c r="I290">
        <v>729424.42</v>
      </c>
    </row>
    <row r="291" spans="1:9">
      <c r="A291">
        <v>68909.259999999995</v>
      </c>
      <c r="B291">
        <v>7794</v>
      </c>
      <c r="C291">
        <v>0.28399999999999997</v>
      </c>
      <c r="D291">
        <v>22</v>
      </c>
      <c r="E291">
        <v>89</v>
      </c>
      <c r="F291">
        <v>0.33</v>
      </c>
      <c r="G291">
        <v>0</v>
      </c>
      <c r="H291">
        <v>4</v>
      </c>
      <c r="I291">
        <v>696261.49</v>
      </c>
    </row>
    <row r="292" spans="1:9">
      <c r="A292">
        <v>56737.3</v>
      </c>
      <c r="B292">
        <v>8300</v>
      </c>
      <c r="C292">
        <v>3.2000000000000001E-2</v>
      </c>
      <c r="D292">
        <v>21</v>
      </c>
      <c r="E292">
        <v>83.2</v>
      </c>
      <c r="F292">
        <v>3.44</v>
      </c>
      <c r="G292">
        <v>1</v>
      </c>
      <c r="H292">
        <v>4.3</v>
      </c>
      <c r="I292">
        <v>813316.71</v>
      </c>
    </row>
    <row r="293" spans="1:9">
      <c r="A293">
        <v>54080.91</v>
      </c>
      <c r="B293">
        <v>7083</v>
      </c>
      <c r="C293">
        <v>0</v>
      </c>
      <c r="D293">
        <v>15</v>
      </c>
      <c r="E293">
        <v>97</v>
      </c>
      <c r="F293">
        <v>5.33</v>
      </c>
      <c r="G293">
        <v>0</v>
      </c>
      <c r="H293">
        <v>4.0999999999999996</v>
      </c>
      <c r="I293">
        <v>702068.92</v>
      </c>
    </row>
    <row r="294" spans="1:9">
      <c r="A294">
        <v>51996.32</v>
      </c>
      <c r="B294">
        <v>3834</v>
      </c>
      <c r="C294">
        <v>9.6000000000000002E-2</v>
      </c>
      <c r="D294">
        <v>8</v>
      </c>
      <c r="E294">
        <v>86.7</v>
      </c>
      <c r="F294">
        <v>6.04</v>
      </c>
      <c r="G294">
        <v>0</v>
      </c>
      <c r="H294">
        <v>4.5</v>
      </c>
      <c r="I294">
        <v>546223.69999999995</v>
      </c>
    </row>
    <row r="295" spans="1:9">
      <c r="A295">
        <v>40102.879999999997</v>
      </c>
      <c r="B295">
        <v>2358</v>
      </c>
      <c r="C295">
        <v>0.11899999999999999</v>
      </c>
      <c r="D295">
        <v>9</v>
      </c>
      <c r="E295">
        <v>88.7</v>
      </c>
      <c r="F295">
        <v>1.6</v>
      </c>
      <c r="G295">
        <v>0</v>
      </c>
      <c r="H295">
        <v>4.2</v>
      </c>
      <c r="I295">
        <v>533121.26</v>
      </c>
    </row>
    <row r="296" spans="1:9">
      <c r="A296">
        <v>59825.51</v>
      </c>
      <c r="B296">
        <v>1231</v>
      </c>
      <c r="C296">
        <v>0.214</v>
      </c>
      <c r="D296">
        <v>10</v>
      </c>
      <c r="E296">
        <v>84.8</v>
      </c>
      <c r="F296">
        <v>8.9600000000000009</v>
      </c>
      <c r="G296">
        <v>0</v>
      </c>
      <c r="H296">
        <v>4.7</v>
      </c>
      <c r="I296">
        <v>498970.32</v>
      </c>
    </row>
    <row r="297" spans="1:9">
      <c r="A297">
        <v>27398.28</v>
      </c>
      <c r="B297">
        <v>1723</v>
      </c>
      <c r="C297">
        <v>0.17100000000000001</v>
      </c>
      <c r="D297">
        <v>9</v>
      </c>
      <c r="E297">
        <v>81</v>
      </c>
      <c r="F297">
        <v>0.74</v>
      </c>
      <c r="G297">
        <v>0</v>
      </c>
      <c r="H297">
        <v>4.5999999999999996</v>
      </c>
      <c r="I297">
        <v>487738.26</v>
      </c>
    </row>
    <row r="298" spans="1:9">
      <c r="A298">
        <v>55599.56</v>
      </c>
      <c r="B298">
        <v>5896</v>
      </c>
      <c r="C298">
        <v>3.5999999999999997E-2</v>
      </c>
      <c r="D298">
        <v>12</v>
      </c>
      <c r="E298">
        <v>93.1</v>
      </c>
      <c r="F298">
        <v>6.13</v>
      </c>
      <c r="G298">
        <v>0</v>
      </c>
      <c r="H298">
        <v>3.3</v>
      </c>
      <c r="I298">
        <v>668459.37</v>
      </c>
    </row>
    <row r="299" spans="1:9">
      <c r="A299">
        <v>55477.61</v>
      </c>
      <c r="B299">
        <v>5903</v>
      </c>
      <c r="C299">
        <v>0.10199999999999999</v>
      </c>
      <c r="D299">
        <v>14</v>
      </c>
      <c r="E299">
        <v>96.2</v>
      </c>
      <c r="F299">
        <v>1.41</v>
      </c>
      <c r="G299">
        <v>0</v>
      </c>
      <c r="H299">
        <v>3.3</v>
      </c>
      <c r="I299">
        <v>763162.45</v>
      </c>
    </row>
    <row r="300" spans="1:9">
      <c r="A300">
        <v>46174.7</v>
      </c>
      <c r="B300">
        <v>4898</v>
      </c>
      <c r="C300">
        <v>0.114</v>
      </c>
      <c r="D300">
        <v>11</v>
      </c>
      <c r="E300">
        <v>91.7</v>
      </c>
      <c r="F300">
        <v>3.75</v>
      </c>
      <c r="G300">
        <v>0</v>
      </c>
      <c r="H300">
        <v>3.1</v>
      </c>
      <c r="I300">
        <v>599017.32999999996</v>
      </c>
    </row>
    <row r="301" spans="1:9">
      <c r="A301">
        <v>24362.98</v>
      </c>
      <c r="B301">
        <v>1462</v>
      </c>
      <c r="C301">
        <v>0.11700000000000001</v>
      </c>
      <c r="D301">
        <v>6</v>
      </c>
      <c r="E301">
        <v>89.3</v>
      </c>
      <c r="F301">
        <v>15.06</v>
      </c>
      <c r="G301">
        <v>0</v>
      </c>
      <c r="H301">
        <v>3.2</v>
      </c>
      <c r="I301">
        <v>401582.58</v>
      </c>
    </row>
    <row r="302" spans="1:9">
      <c r="A302">
        <v>40647.67</v>
      </c>
      <c r="B302">
        <v>8252</v>
      </c>
      <c r="C302">
        <v>0.14099999999999999</v>
      </c>
      <c r="D302">
        <v>22</v>
      </c>
      <c r="E302">
        <v>88.2</v>
      </c>
      <c r="F302">
        <v>5.07</v>
      </c>
      <c r="G302">
        <v>1</v>
      </c>
      <c r="H302">
        <v>4.0999999999999996</v>
      </c>
      <c r="I302">
        <v>703812.99</v>
      </c>
    </row>
    <row r="303" spans="1:9">
      <c r="A303">
        <v>63986.98</v>
      </c>
      <c r="B303">
        <v>7989</v>
      </c>
      <c r="C303">
        <v>7.3999999999999996E-2</v>
      </c>
      <c r="D303">
        <v>20</v>
      </c>
      <c r="E303">
        <v>83.3</v>
      </c>
      <c r="F303">
        <v>3.6</v>
      </c>
      <c r="G303">
        <v>0</v>
      </c>
      <c r="H303">
        <v>3.7</v>
      </c>
      <c r="I303">
        <v>724346.73</v>
      </c>
    </row>
    <row r="304" spans="1:9">
      <c r="A304">
        <v>52843.75</v>
      </c>
      <c r="B304">
        <v>8268</v>
      </c>
      <c r="C304">
        <v>0.13800000000000001</v>
      </c>
      <c r="D304">
        <v>19</v>
      </c>
      <c r="E304">
        <v>87.3</v>
      </c>
      <c r="F304">
        <v>4.3899999999999997</v>
      </c>
      <c r="G304">
        <v>1</v>
      </c>
      <c r="H304">
        <v>4.7</v>
      </c>
      <c r="I304">
        <v>730890.01</v>
      </c>
    </row>
    <row r="305" spans="1:9">
      <c r="A305">
        <v>31997.25</v>
      </c>
      <c r="B305">
        <v>8183</v>
      </c>
      <c r="C305">
        <v>0.19800000000000001</v>
      </c>
      <c r="D305">
        <v>18</v>
      </c>
      <c r="E305">
        <v>93</v>
      </c>
      <c r="F305">
        <v>2.79</v>
      </c>
      <c r="G305">
        <v>0</v>
      </c>
      <c r="H305">
        <v>4.2</v>
      </c>
      <c r="I305">
        <v>780580.95</v>
      </c>
    </row>
    <row r="306" spans="1:9">
      <c r="A306">
        <v>54948.02</v>
      </c>
      <c r="B306">
        <v>6534</v>
      </c>
      <c r="C306">
        <v>0.183</v>
      </c>
      <c r="D306">
        <v>14</v>
      </c>
      <c r="E306">
        <v>94.5</v>
      </c>
      <c r="F306">
        <v>1.56</v>
      </c>
      <c r="G306">
        <v>0</v>
      </c>
      <c r="H306">
        <v>4</v>
      </c>
      <c r="I306">
        <v>727957.48</v>
      </c>
    </row>
    <row r="307" spans="1:9">
      <c r="A307">
        <v>46146.239999999998</v>
      </c>
      <c r="B307">
        <v>5804</v>
      </c>
      <c r="C307">
        <v>4.7E-2</v>
      </c>
      <c r="D307">
        <v>16</v>
      </c>
      <c r="E307">
        <v>86.9</v>
      </c>
      <c r="F307">
        <v>15.82</v>
      </c>
      <c r="G307">
        <v>0</v>
      </c>
      <c r="H307">
        <v>3.8</v>
      </c>
      <c r="I307">
        <v>538376</v>
      </c>
    </row>
    <row r="308" spans="1:9">
      <c r="A308">
        <v>22387.26</v>
      </c>
      <c r="B308">
        <v>6301</v>
      </c>
      <c r="C308">
        <v>0.14599999999999999</v>
      </c>
      <c r="D308">
        <v>14</v>
      </c>
      <c r="E308">
        <v>85.9</v>
      </c>
      <c r="F308">
        <v>1.17</v>
      </c>
      <c r="G308">
        <v>1</v>
      </c>
      <c r="H308">
        <v>3.7</v>
      </c>
      <c r="I308">
        <v>665342.49</v>
      </c>
    </row>
    <row r="309" spans="1:9">
      <c r="A309">
        <v>60684.05</v>
      </c>
      <c r="B309">
        <v>6399</v>
      </c>
      <c r="C309">
        <v>7.4999999999999997E-2</v>
      </c>
      <c r="D309">
        <v>16</v>
      </c>
      <c r="E309">
        <v>99</v>
      </c>
      <c r="F309">
        <v>3.82</v>
      </c>
      <c r="G309">
        <v>0</v>
      </c>
      <c r="H309">
        <v>3.5</v>
      </c>
      <c r="I309">
        <v>651164.18000000005</v>
      </c>
    </row>
    <row r="310" spans="1:9">
      <c r="A310">
        <v>48465.599999999999</v>
      </c>
      <c r="B310">
        <v>5759</v>
      </c>
      <c r="C310">
        <v>0.154</v>
      </c>
      <c r="D310">
        <v>13</v>
      </c>
      <c r="E310">
        <v>87.5</v>
      </c>
      <c r="F310">
        <v>4.1399999999999997</v>
      </c>
      <c r="G310">
        <v>0</v>
      </c>
      <c r="H310">
        <v>4</v>
      </c>
      <c r="I310">
        <v>628538.30000000005</v>
      </c>
    </row>
    <row r="311" spans="1:9">
      <c r="A311">
        <v>23702.38</v>
      </c>
      <c r="B311">
        <v>5285</v>
      </c>
      <c r="C311">
        <v>0.16700000000000001</v>
      </c>
      <c r="D311">
        <v>14</v>
      </c>
      <c r="E311">
        <v>79.7</v>
      </c>
      <c r="F311">
        <v>1.1000000000000001</v>
      </c>
      <c r="G311">
        <v>0</v>
      </c>
      <c r="H311">
        <v>4.3</v>
      </c>
      <c r="I311">
        <v>536524.84</v>
      </c>
    </row>
    <row r="312" spans="1:9">
      <c r="A312">
        <v>54322.94</v>
      </c>
      <c r="B312">
        <v>5434</v>
      </c>
      <c r="C312">
        <v>0.2</v>
      </c>
      <c r="D312">
        <v>13</v>
      </c>
      <c r="E312">
        <v>85.7</v>
      </c>
      <c r="F312">
        <v>10.6</v>
      </c>
      <c r="G312">
        <v>0</v>
      </c>
      <c r="H312">
        <v>4.2</v>
      </c>
      <c r="I312">
        <v>621677.30000000005</v>
      </c>
    </row>
    <row r="313" spans="1:9">
      <c r="A313">
        <v>86026.58</v>
      </c>
      <c r="B313">
        <v>7479</v>
      </c>
      <c r="C313">
        <v>0.14199999999999999</v>
      </c>
      <c r="D313">
        <v>20</v>
      </c>
      <c r="E313">
        <v>89</v>
      </c>
      <c r="F313">
        <v>0.9</v>
      </c>
      <c r="G313">
        <v>0</v>
      </c>
      <c r="H313">
        <f>3.924</f>
        <v>3.9239999999999999</v>
      </c>
      <c r="I313">
        <v>771129.07</v>
      </c>
    </row>
    <row r="314" spans="1:9">
      <c r="A314">
        <v>78967.520000000004</v>
      </c>
      <c r="B314">
        <v>6164</v>
      </c>
      <c r="C314">
        <v>2.1000000000000001E-2</v>
      </c>
      <c r="D314">
        <v>16</v>
      </c>
      <c r="E314">
        <v>85.5</v>
      </c>
      <c r="F314">
        <v>0.2</v>
      </c>
      <c r="G314">
        <v>0</v>
      </c>
      <c r="H314">
        <v>3.4</v>
      </c>
      <c r="I314">
        <v>702052.47</v>
      </c>
    </row>
    <row r="315" spans="1:9">
      <c r="A315">
        <v>46767.99</v>
      </c>
      <c r="B315">
        <v>7973</v>
      </c>
      <c r="C315">
        <v>0.183</v>
      </c>
      <c r="D315">
        <v>18</v>
      </c>
      <c r="E315">
        <v>94.8</v>
      </c>
      <c r="F315">
        <v>4.67</v>
      </c>
      <c r="G315">
        <v>0</v>
      </c>
      <c r="H315">
        <f>3.924</f>
        <v>3.9239999999999999</v>
      </c>
      <c r="I315">
        <v>688368.46</v>
      </c>
    </row>
    <row r="316" spans="1:9">
      <c r="A316">
        <v>62507.16</v>
      </c>
      <c r="B316">
        <v>6000</v>
      </c>
      <c r="C316">
        <v>9.0999999999999998E-2</v>
      </c>
      <c r="D316">
        <v>14</v>
      </c>
      <c r="E316">
        <v>98.2</v>
      </c>
      <c r="F316">
        <v>4.38</v>
      </c>
      <c r="G316">
        <v>1</v>
      </c>
      <c r="H316">
        <v>3.9</v>
      </c>
      <c r="I316">
        <v>712375.77</v>
      </c>
    </row>
    <row r="317" spans="1:9">
      <c r="A317">
        <v>66456.28</v>
      </c>
      <c r="B317">
        <v>9967</v>
      </c>
      <c r="C317">
        <v>0.108</v>
      </c>
      <c r="D317">
        <v>20</v>
      </c>
      <c r="E317">
        <v>94.7</v>
      </c>
      <c r="F317">
        <v>4.4800000000000004</v>
      </c>
      <c r="G317">
        <v>0</v>
      </c>
      <c r="H317">
        <v>4.2</v>
      </c>
      <c r="I317">
        <v>844710.67</v>
      </c>
    </row>
    <row r="318" spans="1:9">
      <c r="A318">
        <v>76614.320000000007</v>
      </c>
      <c r="B318">
        <v>5639</v>
      </c>
      <c r="C318">
        <v>0.17399999999999999</v>
      </c>
      <c r="D318">
        <v>15</v>
      </c>
      <c r="E318">
        <v>92.9</v>
      </c>
      <c r="F318">
        <v>1.02</v>
      </c>
      <c r="G318">
        <v>1</v>
      </c>
      <c r="H318">
        <v>4</v>
      </c>
      <c r="I318">
        <v>620264.19999999995</v>
      </c>
    </row>
    <row r="319" spans="1:9">
      <c r="A319">
        <v>24088.06</v>
      </c>
      <c r="B319">
        <v>3466</v>
      </c>
      <c r="C319">
        <v>0</v>
      </c>
      <c r="D319">
        <v>11</v>
      </c>
      <c r="E319">
        <v>88</v>
      </c>
      <c r="F319">
        <v>0.2</v>
      </c>
      <c r="G319">
        <v>0</v>
      </c>
      <c r="H319">
        <v>3.8</v>
      </c>
      <c r="I319">
        <v>536845.42000000004</v>
      </c>
    </row>
    <row r="320" spans="1:9">
      <c r="A320">
        <v>81902.58</v>
      </c>
      <c r="B320">
        <v>7775</v>
      </c>
      <c r="C320">
        <v>0.215</v>
      </c>
      <c r="D320">
        <v>20</v>
      </c>
      <c r="E320">
        <v>85.2</v>
      </c>
      <c r="F320">
        <v>4.8899999999999997</v>
      </c>
      <c r="G320">
        <v>1</v>
      </c>
      <c r="H320">
        <v>4.2</v>
      </c>
      <c r="I320">
        <v>726776.22</v>
      </c>
    </row>
    <row r="321" spans="1:9">
      <c r="A321">
        <v>40553.11</v>
      </c>
      <c r="B321">
        <v>5317</v>
      </c>
      <c r="C321">
        <v>0.16500000000000001</v>
      </c>
      <c r="D321">
        <v>17</v>
      </c>
      <c r="E321">
        <v>84.3</v>
      </c>
      <c r="F321">
        <v>11.82</v>
      </c>
      <c r="G321">
        <v>0</v>
      </c>
      <c r="H321">
        <v>4.0999999999999996</v>
      </c>
      <c r="I321">
        <v>559660.84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F9E93-AF76-4611-B932-D8AE16CC9B06}">
  <dimension ref="A1:W321"/>
  <sheetViews>
    <sheetView workbookViewId="0">
      <selection activeCell="N312" sqref="N312"/>
    </sheetView>
  </sheetViews>
  <sheetFormatPr defaultRowHeight="14"/>
  <cols>
    <col min="12" max="12" width="14.83203125" customWidth="1"/>
    <col min="21" max="21" width="14" customWidth="1"/>
  </cols>
  <sheetData>
    <row r="1" spans="1:23" ht="4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148</v>
      </c>
      <c r="K1" s="1" t="s">
        <v>133</v>
      </c>
      <c r="L1" s="1" t="s">
        <v>149</v>
      </c>
      <c r="M1" s="1"/>
      <c r="N1" s="1"/>
      <c r="O1" s="5"/>
      <c r="P1" s="1"/>
      <c r="Q1" s="1"/>
      <c r="R1" s="1"/>
      <c r="S1" s="1"/>
      <c r="T1" s="1"/>
      <c r="U1" s="5"/>
      <c r="V1" s="1"/>
      <c r="W1" s="1"/>
    </row>
    <row r="2" spans="1:23">
      <c r="A2">
        <v>70389.11</v>
      </c>
      <c r="B2">
        <v>8302</v>
      </c>
      <c r="C2">
        <v>4.2000000000000003E-2</v>
      </c>
      <c r="D2">
        <v>17</v>
      </c>
      <c r="E2">
        <v>75</v>
      </c>
      <c r="F2">
        <v>5.28</v>
      </c>
      <c r="G2">
        <v>1</v>
      </c>
      <c r="H2">
        <v>3.1</v>
      </c>
      <c r="I2">
        <v>658832.62</v>
      </c>
      <c r="J2">
        <f>95006.4+(1.18561*A2)+(27.858*B2)+(-72102*C2)+(3084.08*D2)+(2989.33*E2)+(-2890.2*F2)+(12984.1*G2)+(10433.9*H2)</f>
        <v>713407.30870709987</v>
      </c>
      <c r="K2">
        <f>I2-J2</f>
        <v>-54574.688707099878</v>
      </c>
      <c r="L2">
        <f>K2^2</f>
        <v>2978396647.4768548</v>
      </c>
    </row>
    <row r="3" spans="1:23">
      <c r="A3">
        <v>43827.89</v>
      </c>
      <c r="B3">
        <v>8487</v>
      </c>
      <c r="C3">
        <v>0.16800000000000001</v>
      </c>
      <c r="D3">
        <v>23</v>
      </c>
      <c r="E3">
        <v>84.4</v>
      </c>
      <c r="F3">
        <v>4.3099999999999996</v>
      </c>
      <c r="G3">
        <v>0</v>
      </c>
      <c r="H3">
        <v>2.8</v>
      </c>
      <c r="I3">
        <v>634436</v>
      </c>
      <c r="J3">
        <f t="shared" ref="J3:J66" si="0">95006.4+(1.18561*A3)+(27.858*B3)+(-72102*C3)+(3084.08*D3)+(2989.33*E3)+(-2890.2*F3)+(12984.1*G3)+(10433.9*H3)</f>
        <v>711278.34466290008</v>
      </c>
      <c r="K3">
        <f t="shared" ref="K3:K66" si="1">I3-J3</f>
        <v>-76842.344662900083</v>
      </c>
      <c r="L3">
        <f t="shared" ref="L3:L66" si="2">K3^2</f>
        <v>5904745933.2919292</v>
      </c>
    </row>
    <row r="4" spans="1:23">
      <c r="A4">
        <v>59921.75</v>
      </c>
      <c r="B4">
        <v>9113</v>
      </c>
      <c r="C4">
        <v>0.13300000000000001</v>
      </c>
      <c r="D4">
        <v>20</v>
      </c>
      <c r="E4">
        <v>88</v>
      </c>
      <c r="F4">
        <v>12</v>
      </c>
      <c r="G4">
        <v>0</v>
      </c>
      <c r="H4">
        <v>3.2</v>
      </c>
      <c r="I4">
        <v>678722.06</v>
      </c>
      <c r="J4">
        <f t="shared" si="0"/>
        <v>733779.33401749993</v>
      </c>
      <c r="K4">
        <f t="shared" si="1"/>
        <v>-55057.274017499876</v>
      </c>
      <c r="L4">
        <f t="shared" si="2"/>
        <v>3031303422.2380672</v>
      </c>
    </row>
    <row r="5" spans="1:23">
      <c r="A5">
        <v>56856.63</v>
      </c>
      <c r="B5">
        <v>9431</v>
      </c>
      <c r="C5">
        <v>0.14199999999999999</v>
      </c>
      <c r="D5">
        <v>23</v>
      </c>
      <c r="E5">
        <v>86.9</v>
      </c>
      <c r="F5">
        <v>4.97</v>
      </c>
      <c r="G5">
        <v>0</v>
      </c>
      <c r="H5">
        <v>3.4</v>
      </c>
      <c r="I5">
        <v>658920.30000000005</v>
      </c>
      <c r="J5">
        <f t="shared" si="0"/>
        <v>766724.08609430003</v>
      </c>
      <c r="K5">
        <f t="shared" si="1"/>
        <v>-107803.78609429998</v>
      </c>
      <c r="L5">
        <f t="shared" si="2"/>
        <v>11621656296.265587</v>
      </c>
    </row>
    <row r="6" spans="1:23">
      <c r="A6">
        <v>48412.639999999999</v>
      </c>
      <c r="B6">
        <v>9545</v>
      </c>
      <c r="C6">
        <v>0.23100000000000001</v>
      </c>
      <c r="D6">
        <v>21</v>
      </c>
      <c r="E6">
        <v>97.6</v>
      </c>
      <c r="F6">
        <v>6.94</v>
      </c>
      <c r="G6">
        <v>1</v>
      </c>
      <c r="H6">
        <v>4.2</v>
      </c>
      <c r="I6">
        <v>741341.44</v>
      </c>
      <c r="J6">
        <f t="shared" si="0"/>
        <v>794926.73811039992</v>
      </c>
      <c r="K6">
        <f t="shared" si="1"/>
        <v>-53585.298110399977</v>
      </c>
      <c r="L6">
        <f t="shared" si="2"/>
        <v>2871384173.5804353</v>
      </c>
    </row>
    <row r="7" spans="1:23">
      <c r="A7">
        <v>64811.21</v>
      </c>
      <c r="B7">
        <v>9792</v>
      </c>
      <c r="C7">
        <v>0.112</v>
      </c>
      <c r="D7">
        <v>20</v>
      </c>
      <c r="E7">
        <v>84.2</v>
      </c>
      <c r="F7">
        <v>2.88</v>
      </c>
      <c r="G7">
        <v>0</v>
      </c>
      <c r="H7">
        <v>4.2</v>
      </c>
      <c r="I7">
        <v>761835.34</v>
      </c>
      <c r="J7">
        <f t="shared" si="0"/>
        <v>785439.12068810011</v>
      </c>
      <c r="K7">
        <f t="shared" si="1"/>
        <v>-23603.780688100145</v>
      </c>
      <c r="L7">
        <f t="shared" si="2"/>
        <v>557138462.77192938</v>
      </c>
    </row>
    <row r="8" spans="1:23">
      <c r="A8">
        <v>46213.45</v>
      </c>
      <c r="B8">
        <v>10616</v>
      </c>
      <c r="C8">
        <v>0.122</v>
      </c>
      <c r="D8">
        <v>22</v>
      </c>
      <c r="E8">
        <v>85.2</v>
      </c>
      <c r="F8">
        <v>0.2</v>
      </c>
      <c r="G8">
        <v>1</v>
      </c>
      <c r="H8">
        <v>4.0999999999999996</v>
      </c>
      <c r="I8">
        <v>806615.54</v>
      </c>
      <c r="J8">
        <f t="shared" si="0"/>
        <v>814467.33845449984</v>
      </c>
      <c r="K8">
        <f t="shared" si="1"/>
        <v>-7851.7984544998035</v>
      </c>
      <c r="L8">
        <f t="shared" si="2"/>
        <v>61650738.970085502</v>
      </c>
    </row>
    <row r="9" spans="1:23">
      <c r="A9">
        <v>68148.52</v>
      </c>
      <c r="B9">
        <v>8567</v>
      </c>
      <c r="C9">
        <v>0.127</v>
      </c>
      <c r="D9">
        <v>23</v>
      </c>
      <c r="E9">
        <v>95.6</v>
      </c>
      <c r="F9">
        <v>0.8</v>
      </c>
      <c r="G9">
        <v>0</v>
      </c>
      <c r="H9">
        <v>3.9</v>
      </c>
      <c r="I9">
        <v>850164.26</v>
      </c>
      <c r="J9">
        <f t="shared" si="0"/>
        <v>800400.33679719991</v>
      </c>
      <c r="K9">
        <f t="shared" si="1"/>
        <v>49763.923202800099</v>
      </c>
      <c r="L9">
        <f t="shared" si="2"/>
        <v>2476448052.5341859</v>
      </c>
    </row>
    <row r="10" spans="1:23">
      <c r="A10">
        <v>71838.86</v>
      </c>
      <c r="B10">
        <v>10979</v>
      </c>
      <c r="C10">
        <v>0.215</v>
      </c>
      <c r="D10">
        <v>26</v>
      </c>
      <c r="E10">
        <v>88.6</v>
      </c>
      <c r="F10">
        <v>7.7</v>
      </c>
      <c r="G10">
        <v>1</v>
      </c>
      <c r="H10">
        <v>3.8</v>
      </c>
      <c r="I10">
        <v>930581.7</v>
      </c>
      <c r="J10">
        <f t="shared" si="0"/>
        <v>845949.4208046</v>
      </c>
      <c r="K10">
        <f t="shared" si="1"/>
        <v>84632.279195399955</v>
      </c>
      <c r="L10">
        <f t="shared" si="2"/>
        <v>7162622681.8081284</v>
      </c>
    </row>
    <row r="11" spans="1:23">
      <c r="A11">
        <v>68133.440000000002</v>
      </c>
      <c r="B11">
        <v>9459</v>
      </c>
      <c r="C11">
        <v>0.22</v>
      </c>
      <c r="D11">
        <v>21</v>
      </c>
      <c r="E11">
        <v>85</v>
      </c>
      <c r="F11">
        <v>1.91</v>
      </c>
      <c r="G11">
        <v>0</v>
      </c>
      <c r="H11">
        <v>4.2</v>
      </c>
      <c r="I11">
        <v>779010.94</v>
      </c>
      <c r="J11">
        <f t="shared" si="0"/>
        <v>780593.29779840005</v>
      </c>
      <c r="K11">
        <f t="shared" si="1"/>
        <v>-1582.3577984001022</v>
      </c>
      <c r="L11">
        <f t="shared" si="2"/>
        <v>2503856.2021576185</v>
      </c>
    </row>
    <row r="12" spans="1:23">
      <c r="A12">
        <v>34285.21</v>
      </c>
      <c r="B12">
        <v>9172</v>
      </c>
      <c r="C12">
        <v>0.21299999999999999</v>
      </c>
      <c r="D12">
        <v>22</v>
      </c>
      <c r="E12">
        <v>88.3</v>
      </c>
      <c r="F12">
        <v>10.46</v>
      </c>
      <c r="G12">
        <v>1</v>
      </c>
      <c r="H12">
        <v>3.8</v>
      </c>
      <c r="I12">
        <v>723060.76</v>
      </c>
      <c r="J12">
        <f t="shared" si="0"/>
        <v>730020.16482809989</v>
      </c>
      <c r="K12">
        <f t="shared" si="1"/>
        <v>-6959.4048280998832</v>
      </c>
      <c r="L12">
        <f t="shared" si="2"/>
        <v>48433315.561379962</v>
      </c>
    </row>
    <row r="13" spans="1:23">
      <c r="A13">
        <v>67979.88</v>
      </c>
      <c r="B13">
        <v>11230</v>
      </c>
      <c r="C13">
        <v>2E-3</v>
      </c>
      <c r="D13">
        <v>28</v>
      </c>
      <c r="E13">
        <v>85.3</v>
      </c>
      <c r="F13">
        <v>7.16</v>
      </c>
      <c r="G13">
        <v>0</v>
      </c>
      <c r="H13">
        <v>3.8</v>
      </c>
      <c r="I13">
        <v>910791.94</v>
      </c>
      <c r="J13">
        <f t="shared" si="0"/>
        <v>848604.23852679995</v>
      </c>
      <c r="K13">
        <f t="shared" si="1"/>
        <v>62187.701473199995</v>
      </c>
      <c r="L13">
        <f t="shared" si="2"/>
        <v>3867310214.5198407</v>
      </c>
    </row>
    <row r="14" spans="1:23">
      <c r="A14">
        <v>71828.259999999995</v>
      </c>
      <c r="B14">
        <v>12775</v>
      </c>
      <c r="C14">
        <v>0.11600000000000001</v>
      </c>
      <c r="D14">
        <v>30</v>
      </c>
      <c r="E14">
        <v>81.7</v>
      </c>
      <c r="F14">
        <v>4.24</v>
      </c>
      <c r="G14">
        <v>1</v>
      </c>
      <c r="H14">
        <v>4.2</v>
      </c>
      <c r="I14">
        <v>922168.6</v>
      </c>
      <c r="J14">
        <f t="shared" si="0"/>
        <v>908991.51433859987</v>
      </c>
      <c r="K14">
        <f t="shared" si="1"/>
        <v>13177.08566140011</v>
      </c>
      <c r="L14">
        <f t="shared" si="2"/>
        <v>173635586.52787635</v>
      </c>
    </row>
    <row r="15" spans="1:23">
      <c r="A15">
        <v>55716.82</v>
      </c>
      <c r="B15">
        <v>10054</v>
      </c>
      <c r="C15">
        <v>0.14599999999999999</v>
      </c>
      <c r="D15">
        <v>24</v>
      </c>
      <c r="E15">
        <v>84.9</v>
      </c>
      <c r="F15">
        <v>1.06</v>
      </c>
      <c r="G15">
        <v>0</v>
      </c>
      <c r="H15">
        <v>4.3</v>
      </c>
      <c r="I15">
        <v>726606.28</v>
      </c>
      <c r="J15">
        <f t="shared" si="0"/>
        <v>800236.45396020007</v>
      </c>
      <c r="K15">
        <f t="shared" si="1"/>
        <v>-73630.173960200045</v>
      </c>
      <c r="L15">
        <f t="shared" si="2"/>
        <v>5421402517.4093208</v>
      </c>
    </row>
    <row r="16" spans="1:23">
      <c r="A16">
        <v>59909.51</v>
      </c>
      <c r="B16">
        <v>8895</v>
      </c>
      <c r="C16">
        <v>0.22800000000000001</v>
      </c>
      <c r="D16">
        <v>23</v>
      </c>
      <c r="E16">
        <v>88.8</v>
      </c>
      <c r="F16">
        <v>0.27</v>
      </c>
      <c r="G16">
        <v>0</v>
      </c>
      <c r="H16">
        <v>4.3</v>
      </c>
      <c r="I16">
        <v>746501.09</v>
      </c>
      <c r="J16">
        <f t="shared" si="0"/>
        <v>777865.1281510999</v>
      </c>
      <c r="K16">
        <f t="shared" si="1"/>
        <v>-31364.038151099929</v>
      </c>
      <c r="L16">
        <f t="shared" si="2"/>
        <v>983702889.14365184</v>
      </c>
    </row>
    <row r="17" spans="1:12">
      <c r="A17">
        <v>75305.710000000006</v>
      </c>
      <c r="B17">
        <v>10940</v>
      </c>
      <c r="C17">
        <v>6.0000000000000001E-3</v>
      </c>
      <c r="D17">
        <v>26</v>
      </c>
      <c r="E17">
        <v>76.5</v>
      </c>
      <c r="F17">
        <v>1.32</v>
      </c>
      <c r="G17">
        <v>0</v>
      </c>
      <c r="H17">
        <v>4.5</v>
      </c>
      <c r="I17">
        <v>834017.02</v>
      </c>
      <c r="J17">
        <f t="shared" si="0"/>
        <v>840630.82183310005</v>
      </c>
      <c r="K17">
        <f t="shared" si="1"/>
        <v>-6613.8018331000349</v>
      </c>
      <c r="L17">
        <f t="shared" si="2"/>
        <v>43742374.687517382</v>
      </c>
    </row>
    <row r="18" spans="1:12">
      <c r="A18">
        <v>48804.22</v>
      </c>
      <c r="B18">
        <v>7057</v>
      </c>
      <c r="C18">
        <v>5.0000000000000001E-3</v>
      </c>
      <c r="D18">
        <v>15</v>
      </c>
      <c r="E18">
        <v>87.7</v>
      </c>
      <c r="F18">
        <v>1.22</v>
      </c>
      <c r="G18">
        <v>0</v>
      </c>
      <c r="H18">
        <v>3.7</v>
      </c>
      <c r="I18">
        <v>666152.52</v>
      </c>
      <c r="J18">
        <f t="shared" si="0"/>
        <v>692607.39427420008</v>
      </c>
      <c r="K18">
        <f t="shared" si="1"/>
        <v>-26454.874274200061</v>
      </c>
      <c r="L18">
        <f t="shared" si="2"/>
        <v>699860372.86373222</v>
      </c>
    </row>
    <row r="19" spans="1:12">
      <c r="A19">
        <v>59117.9</v>
      </c>
      <c r="B19">
        <v>4263</v>
      </c>
      <c r="C19">
        <v>0.11899999999999999</v>
      </c>
      <c r="D19">
        <v>9</v>
      </c>
      <c r="E19">
        <v>87.6</v>
      </c>
      <c r="F19">
        <v>4.01</v>
      </c>
      <c r="G19">
        <v>0</v>
      </c>
      <c r="H19">
        <v>3.6</v>
      </c>
      <c r="I19">
        <v>573155.18999999994</v>
      </c>
      <c r="J19">
        <f t="shared" si="0"/>
        <v>590870.05541899998</v>
      </c>
      <c r="K19">
        <f t="shared" si="1"/>
        <v>-17714.865419000038</v>
      </c>
      <c r="L19">
        <f t="shared" si="2"/>
        <v>313816456.81328338</v>
      </c>
    </row>
    <row r="20" spans="1:12">
      <c r="A20">
        <v>78831.12</v>
      </c>
      <c r="B20">
        <v>5538</v>
      </c>
      <c r="C20">
        <v>0</v>
      </c>
      <c r="D20">
        <v>15</v>
      </c>
      <c r="E20">
        <v>94.1</v>
      </c>
      <c r="F20">
        <v>0.2</v>
      </c>
      <c r="G20">
        <v>0</v>
      </c>
      <c r="H20">
        <v>3.9</v>
      </c>
      <c r="I20">
        <v>666573.19999999995</v>
      </c>
      <c r="J20">
        <f t="shared" si="0"/>
        <v>710418.29118319997</v>
      </c>
      <c r="K20">
        <f t="shared" si="1"/>
        <v>-43845.091183200013</v>
      </c>
      <c r="L20">
        <f t="shared" si="2"/>
        <v>1922392020.8631234</v>
      </c>
    </row>
    <row r="21" spans="1:12">
      <c r="A21">
        <v>41441.93</v>
      </c>
      <c r="B21">
        <v>4865</v>
      </c>
      <c r="C21">
        <v>0.158</v>
      </c>
      <c r="D21">
        <v>16</v>
      </c>
      <c r="E21">
        <v>88.3</v>
      </c>
      <c r="F21">
        <v>0.5</v>
      </c>
      <c r="G21">
        <v>0</v>
      </c>
      <c r="H21">
        <v>4</v>
      </c>
      <c r="I21">
        <v>591619.94999999995</v>
      </c>
      <c r="J21">
        <f t="shared" si="0"/>
        <v>621871.03962729988</v>
      </c>
      <c r="K21">
        <f t="shared" si="1"/>
        <v>-30251.089627299923</v>
      </c>
      <c r="L21">
        <f t="shared" si="2"/>
        <v>915128423.63893306</v>
      </c>
    </row>
    <row r="22" spans="1:12">
      <c r="A22">
        <v>30356.28</v>
      </c>
      <c r="B22">
        <v>2822</v>
      </c>
      <c r="C22">
        <v>0.23100000000000001</v>
      </c>
      <c r="D22">
        <v>9</v>
      </c>
      <c r="E22">
        <v>84.8</v>
      </c>
      <c r="F22">
        <v>6.95</v>
      </c>
      <c r="G22">
        <v>0</v>
      </c>
      <c r="H22">
        <v>5</v>
      </c>
      <c r="I22">
        <v>415721.82</v>
      </c>
      <c r="J22">
        <f t="shared" si="0"/>
        <v>506291.33713080001</v>
      </c>
      <c r="K22">
        <f t="shared" si="1"/>
        <v>-90569.517130799999</v>
      </c>
      <c r="L22">
        <f t="shared" si="2"/>
        <v>8202837433.3062744</v>
      </c>
    </row>
    <row r="23" spans="1:12">
      <c r="A23">
        <v>33518.879999999997</v>
      </c>
      <c r="B23">
        <v>2121</v>
      </c>
      <c r="C23">
        <v>0.17599999999999999</v>
      </c>
      <c r="D23">
        <v>8</v>
      </c>
      <c r="E23">
        <v>88.5</v>
      </c>
      <c r="F23">
        <v>0.2</v>
      </c>
      <c r="G23">
        <v>0</v>
      </c>
      <c r="H23">
        <v>5</v>
      </c>
      <c r="I23">
        <v>491905.13</v>
      </c>
      <c r="J23">
        <f t="shared" si="0"/>
        <v>521963.39031680004</v>
      </c>
      <c r="K23">
        <f t="shared" si="1"/>
        <v>-30058.260316800035</v>
      </c>
      <c r="L23">
        <f t="shared" si="2"/>
        <v>903499013.27251577</v>
      </c>
    </row>
    <row r="24" spans="1:12">
      <c r="A24">
        <v>42267.37</v>
      </c>
      <c r="B24">
        <v>3364</v>
      </c>
      <c r="C24">
        <v>0.16</v>
      </c>
      <c r="D24">
        <v>13</v>
      </c>
      <c r="E24">
        <v>82</v>
      </c>
      <c r="F24">
        <v>1.61</v>
      </c>
      <c r="G24">
        <v>1</v>
      </c>
      <c r="H24">
        <v>4.5999999999999996</v>
      </c>
      <c r="I24">
        <v>555929.4</v>
      </c>
      <c r="J24">
        <f t="shared" si="0"/>
        <v>568841.92654569994</v>
      </c>
      <c r="K24">
        <f t="shared" si="1"/>
        <v>-12912.526545699919</v>
      </c>
      <c r="L24">
        <f t="shared" si="2"/>
        <v>166733341.79340509</v>
      </c>
    </row>
    <row r="25" spans="1:12">
      <c r="A25">
        <v>62060.43</v>
      </c>
      <c r="B25">
        <v>2613</v>
      </c>
      <c r="C25">
        <v>0.216</v>
      </c>
      <c r="D25">
        <v>12</v>
      </c>
      <c r="E25">
        <v>92.1</v>
      </c>
      <c r="F25">
        <v>1.55</v>
      </c>
      <c r="G25">
        <v>0</v>
      </c>
      <c r="H25">
        <v>4.7</v>
      </c>
      <c r="I25">
        <v>565810.99</v>
      </c>
      <c r="J25">
        <f t="shared" si="0"/>
        <v>582690.56141229987</v>
      </c>
      <c r="K25">
        <f t="shared" si="1"/>
        <v>-16879.571412299876</v>
      </c>
      <c r="L25">
        <f t="shared" si="2"/>
        <v>284919931.06293124</v>
      </c>
    </row>
    <row r="26" spans="1:12">
      <c r="A26">
        <v>57696.69</v>
      </c>
      <c r="B26">
        <v>10218</v>
      </c>
      <c r="C26">
        <v>0.121</v>
      </c>
      <c r="D26">
        <v>25</v>
      </c>
      <c r="E26">
        <v>94.8</v>
      </c>
      <c r="F26">
        <v>2.99</v>
      </c>
      <c r="G26">
        <v>0</v>
      </c>
      <c r="H26">
        <v>3.5</v>
      </c>
      <c r="I26">
        <v>811771.14</v>
      </c>
      <c r="J26">
        <f t="shared" si="0"/>
        <v>827708.31063090009</v>
      </c>
      <c r="K26">
        <f t="shared" si="1"/>
        <v>-15937.170630900073</v>
      </c>
      <c r="L26">
        <f t="shared" si="2"/>
        <v>253993407.71842381</v>
      </c>
    </row>
    <row r="27" spans="1:12">
      <c r="A27">
        <v>172415.52</v>
      </c>
      <c r="B27">
        <v>8927</v>
      </c>
      <c r="C27">
        <v>0.14000000000000001</v>
      </c>
      <c r="D27">
        <v>22</v>
      </c>
      <c r="E27">
        <v>86.2</v>
      </c>
      <c r="F27">
        <v>7.04</v>
      </c>
      <c r="G27">
        <v>0</v>
      </c>
      <c r="H27">
        <v>3.9</v>
      </c>
      <c r="I27">
        <v>800451.94</v>
      </c>
      <c r="J27">
        <f t="shared" si="0"/>
        <v>883893.25866719999</v>
      </c>
      <c r="K27">
        <f t="shared" si="1"/>
        <v>-83441.318667200045</v>
      </c>
      <c r="L27">
        <f t="shared" si="2"/>
        <v>6962453660.9212265</v>
      </c>
    </row>
    <row r="28" spans="1:12">
      <c r="A28">
        <v>55270.52</v>
      </c>
      <c r="B28">
        <v>9315</v>
      </c>
      <c r="C28">
        <v>0.16900000000000001</v>
      </c>
      <c r="D28">
        <v>23</v>
      </c>
      <c r="E28">
        <v>91.9</v>
      </c>
      <c r="F28">
        <v>4.9400000000000004</v>
      </c>
      <c r="G28">
        <v>0</v>
      </c>
      <c r="H28">
        <v>4</v>
      </c>
      <c r="I28">
        <v>783672.82</v>
      </c>
      <c r="J28">
        <f t="shared" si="0"/>
        <v>780958.99221719999</v>
      </c>
      <c r="K28">
        <f t="shared" si="1"/>
        <v>2713.8277827999555</v>
      </c>
      <c r="L28">
        <f t="shared" si="2"/>
        <v>7364861.2346969219</v>
      </c>
    </row>
    <row r="29" spans="1:12">
      <c r="A29">
        <v>52715.1</v>
      </c>
      <c r="B29">
        <v>7223</v>
      </c>
      <c r="C29">
        <v>0.122</v>
      </c>
      <c r="D29">
        <v>16</v>
      </c>
      <c r="E29">
        <v>84.2</v>
      </c>
      <c r="F29">
        <v>16.149999999999999</v>
      </c>
      <c r="G29">
        <v>0</v>
      </c>
      <c r="H29">
        <v>3.7</v>
      </c>
      <c r="I29">
        <v>701641.97</v>
      </c>
      <c r="J29">
        <f t="shared" si="0"/>
        <v>642903.40571100009</v>
      </c>
      <c r="K29">
        <f t="shared" si="1"/>
        <v>58738.564288999885</v>
      </c>
      <c r="L29">
        <f t="shared" si="2"/>
        <v>3450218934.7329726</v>
      </c>
    </row>
    <row r="30" spans="1:12">
      <c r="A30">
        <v>68600.62</v>
      </c>
      <c r="B30">
        <v>3988</v>
      </c>
      <c r="C30">
        <v>0.124</v>
      </c>
      <c r="D30">
        <v>11</v>
      </c>
      <c r="E30">
        <v>85</v>
      </c>
      <c r="F30">
        <v>0.48</v>
      </c>
      <c r="G30">
        <v>0</v>
      </c>
      <c r="H30">
        <v>3.6</v>
      </c>
      <c r="I30">
        <v>511844.41</v>
      </c>
      <c r="J30">
        <f t="shared" si="0"/>
        <v>602689.71107820002</v>
      </c>
      <c r="K30">
        <f t="shared" si="1"/>
        <v>-90845.301078200049</v>
      </c>
      <c r="L30">
        <f t="shared" si="2"/>
        <v>8252868727.9888153</v>
      </c>
    </row>
    <row r="31" spans="1:12">
      <c r="A31">
        <v>63176.73</v>
      </c>
      <c r="B31">
        <v>2390</v>
      </c>
      <c r="C31">
        <v>0.216</v>
      </c>
      <c r="D31">
        <v>9</v>
      </c>
      <c r="E31">
        <v>87.5</v>
      </c>
      <c r="F31">
        <v>0.31</v>
      </c>
      <c r="G31">
        <v>0</v>
      </c>
      <c r="H31">
        <v>3.1</v>
      </c>
      <c r="I31">
        <v>537383.79</v>
      </c>
      <c r="J31">
        <f t="shared" si="0"/>
        <v>541688.17385530006</v>
      </c>
      <c r="K31">
        <f t="shared" si="1"/>
        <v>-4304.3838553000242</v>
      </c>
      <c r="L31">
        <f t="shared" si="2"/>
        <v>18527720.373767499</v>
      </c>
    </row>
    <row r="32" spans="1:12">
      <c r="A32">
        <v>44970.080000000002</v>
      </c>
      <c r="B32">
        <v>2471</v>
      </c>
      <c r="C32">
        <v>0.13600000000000001</v>
      </c>
      <c r="D32">
        <v>11</v>
      </c>
      <c r="E32">
        <v>87.6</v>
      </c>
      <c r="F32">
        <v>3.01</v>
      </c>
      <c r="G32">
        <v>1</v>
      </c>
      <c r="H32">
        <v>3.7</v>
      </c>
      <c r="I32">
        <v>500173.02</v>
      </c>
      <c r="J32">
        <f t="shared" si="0"/>
        <v>546034.83854879998</v>
      </c>
      <c r="K32">
        <f t="shared" si="1"/>
        <v>-45861.818548799958</v>
      </c>
      <c r="L32">
        <f t="shared" si="2"/>
        <v>2103306400.6030519</v>
      </c>
    </row>
    <row r="33" spans="1:12">
      <c r="A33">
        <v>69816.350000000006</v>
      </c>
      <c r="B33">
        <v>971</v>
      </c>
      <c r="C33">
        <v>0.16800000000000001</v>
      </c>
      <c r="D33">
        <v>5</v>
      </c>
      <c r="E33">
        <v>89.9</v>
      </c>
      <c r="F33">
        <v>12.15</v>
      </c>
      <c r="G33">
        <v>0</v>
      </c>
      <c r="H33">
        <v>3.6</v>
      </c>
      <c r="I33">
        <v>427917.38</v>
      </c>
      <c r="J33">
        <f t="shared" si="0"/>
        <v>479325.62172349996</v>
      </c>
      <c r="K33">
        <f t="shared" si="1"/>
        <v>-51408.241723499959</v>
      </c>
      <c r="L33">
        <f t="shared" si="2"/>
        <v>2642807317.1018019</v>
      </c>
    </row>
    <row r="34" spans="1:12">
      <c r="A34">
        <v>54597.83</v>
      </c>
      <c r="B34">
        <v>9429</v>
      </c>
      <c r="C34">
        <v>0.188</v>
      </c>
      <c r="D34">
        <v>21</v>
      </c>
      <c r="E34">
        <v>83.3</v>
      </c>
      <c r="F34">
        <v>11.71</v>
      </c>
      <c r="G34">
        <v>0</v>
      </c>
      <c r="H34">
        <v>4.2</v>
      </c>
      <c r="I34">
        <v>641865.03</v>
      </c>
      <c r="J34">
        <f t="shared" si="0"/>
        <v>732611.04622630007</v>
      </c>
      <c r="K34">
        <f t="shared" si="1"/>
        <v>-90746.016226300038</v>
      </c>
      <c r="L34">
        <f t="shared" si="2"/>
        <v>8234839460.9439096</v>
      </c>
    </row>
    <row r="35" spans="1:12">
      <c r="A35">
        <v>73771.91</v>
      </c>
      <c r="B35">
        <v>11695</v>
      </c>
      <c r="C35">
        <v>7.0000000000000007E-2</v>
      </c>
      <c r="D35">
        <v>25</v>
      </c>
      <c r="E35">
        <v>84.7</v>
      </c>
      <c r="F35">
        <v>0.62</v>
      </c>
      <c r="G35">
        <v>0</v>
      </c>
      <c r="H35">
        <f>3.924</f>
        <v>3.9239999999999999</v>
      </c>
      <c r="I35">
        <v>799477.76000000001</v>
      </c>
      <c r="J35">
        <f t="shared" si="0"/>
        <v>872672.23481510009</v>
      </c>
      <c r="K35">
        <f t="shared" si="1"/>
        <v>-73194.474815100082</v>
      </c>
      <c r="L35">
        <f t="shared" si="2"/>
        <v>5357431143.4583206</v>
      </c>
    </row>
    <row r="36" spans="1:12">
      <c r="A36">
        <v>74413.88</v>
      </c>
      <c r="B36">
        <v>9449</v>
      </c>
      <c r="C36">
        <v>3.9E-2</v>
      </c>
      <c r="D36">
        <v>23</v>
      </c>
      <c r="E36">
        <v>92.1</v>
      </c>
      <c r="F36">
        <v>2.12</v>
      </c>
      <c r="G36">
        <v>0</v>
      </c>
      <c r="H36">
        <v>3.5</v>
      </c>
      <c r="I36">
        <v>798952.17</v>
      </c>
      <c r="J36">
        <f t="shared" si="0"/>
        <v>820293.06326680002</v>
      </c>
      <c r="K36">
        <f t="shared" si="1"/>
        <v>-21340.893266799976</v>
      </c>
      <c r="L36">
        <f t="shared" si="2"/>
        <v>455433725.42494857</v>
      </c>
    </row>
    <row r="37" spans="1:12">
      <c r="A37">
        <v>52483.77</v>
      </c>
      <c r="B37">
        <v>10453</v>
      </c>
      <c r="C37">
        <v>0.247</v>
      </c>
      <c r="D37">
        <v>25</v>
      </c>
      <c r="E37">
        <v>99</v>
      </c>
      <c r="F37">
        <v>6.31</v>
      </c>
      <c r="G37">
        <v>0</v>
      </c>
      <c r="H37">
        <v>3.6</v>
      </c>
      <c r="I37">
        <v>800979.78</v>
      </c>
      <c r="J37">
        <f t="shared" si="0"/>
        <v>822992.71054970007</v>
      </c>
      <c r="K37">
        <f t="shared" si="1"/>
        <v>-22012.930549700046</v>
      </c>
      <c r="L37">
        <f t="shared" si="2"/>
        <v>484569111.38591754</v>
      </c>
    </row>
    <row r="38" spans="1:12">
      <c r="A38">
        <v>75269.87</v>
      </c>
      <c r="B38">
        <v>8838</v>
      </c>
      <c r="C38">
        <v>9.1999999999999998E-2</v>
      </c>
      <c r="D38">
        <v>21</v>
      </c>
      <c r="E38">
        <v>83.1</v>
      </c>
      <c r="F38">
        <v>9.56</v>
      </c>
      <c r="G38">
        <v>1</v>
      </c>
      <c r="H38">
        <v>4.2</v>
      </c>
      <c r="I38">
        <v>820593.93</v>
      </c>
      <c r="J38">
        <f t="shared" si="0"/>
        <v>766177.90157069988</v>
      </c>
      <c r="K38">
        <f t="shared" si="1"/>
        <v>54416.028429300175</v>
      </c>
      <c r="L38">
        <f t="shared" si="2"/>
        <v>2961104150.018405</v>
      </c>
    </row>
    <row r="39" spans="1:12">
      <c r="A39">
        <v>61245.41</v>
      </c>
      <c r="B39">
        <v>8156</v>
      </c>
      <c r="C39">
        <v>0.156</v>
      </c>
      <c r="D39">
        <v>19</v>
      </c>
      <c r="E39">
        <v>92.9</v>
      </c>
      <c r="F39">
        <v>9.0500000000000007</v>
      </c>
      <c r="G39">
        <v>0</v>
      </c>
      <c r="H39">
        <v>3.8</v>
      </c>
      <c r="I39">
        <v>718330.53</v>
      </c>
      <c r="J39">
        <f t="shared" si="0"/>
        <v>733380.29355009983</v>
      </c>
      <c r="K39">
        <f t="shared" si="1"/>
        <v>-15049.7635500998</v>
      </c>
      <c r="L39">
        <f t="shared" si="2"/>
        <v>226495382.91391253</v>
      </c>
    </row>
    <row r="40" spans="1:12">
      <c r="A40">
        <v>93381.26</v>
      </c>
      <c r="B40">
        <v>7562</v>
      </c>
      <c r="C40">
        <v>0.19800000000000001</v>
      </c>
      <c r="D40">
        <v>19</v>
      </c>
      <c r="E40">
        <v>82.9</v>
      </c>
      <c r="F40">
        <v>5.05</v>
      </c>
      <c r="G40">
        <v>0</v>
      </c>
      <c r="H40">
        <v>4</v>
      </c>
      <c r="I40">
        <v>736633.4</v>
      </c>
      <c r="J40">
        <f t="shared" si="0"/>
        <v>735659.22266860004</v>
      </c>
      <c r="K40">
        <f t="shared" si="1"/>
        <v>974.17733139998745</v>
      </c>
      <c r="L40">
        <f t="shared" si="2"/>
        <v>949021.47301360103</v>
      </c>
    </row>
    <row r="41" spans="1:12">
      <c r="A41">
        <v>65012.19</v>
      </c>
      <c r="B41">
        <v>9598</v>
      </c>
      <c r="C41">
        <v>8.5000000000000006E-2</v>
      </c>
      <c r="D41">
        <v>24</v>
      </c>
      <c r="E41">
        <v>98.3</v>
      </c>
      <c r="F41">
        <v>0.89</v>
      </c>
      <c r="G41">
        <v>0</v>
      </c>
      <c r="H41">
        <v>3.8</v>
      </c>
      <c r="I41">
        <v>828623.85</v>
      </c>
      <c r="J41">
        <f t="shared" si="0"/>
        <v>838283.51758589991</v>
      </c>
      <c r="K41">
        <f t="shared" si="1"/>
        <v>-9659.667585899937</v>
      </c>
      <c r="L41">
        <f t="shared" si="2"/>
        <v>93309177.87008591</v>
      </c>
    </row>
    <row r="42" spans="1:12">
      <c r="A42">
        <v>40462.94</v>
      </c>
      <c r="B42">
        <v>3660</v>
      </c>
      <c r="C42">
        <v>0.218</v>
      </c>
      <c r="D42">
        <v>11</v>
      </c>
      <c r="E42">
        <v>95.2</v>
      </c>
      <c r="F42">
        <v>5.57</v>
      </c>
      <c r="G42">
        <v>0</v>
      </c>
      <c r="H42">
        <v>4.4000000000000004</v>
      </c>
      <c r="I42">
        <v>592195.85</v>
      </c>
      <c r="J42">
        <f t="shared" si="0"/>
        <v>577541.55229340005</v>
      </c>
      <c r="K42">
        <f t="shared" si="1"/>
        <v>14654.297706599929</v>
      </c>
      <c r="L42">
        <f t="shared" si="2"/>
        <v>214748441.27365994</v>
      </c>
    </row>
    <row r="43" spans="1:12">
      <c r="A43">
        <v>46123.88</v>
      </c>
      <c r="B43">
        <v>3227</v>
      </c>
      <c r="C43">
        <v>0.14299999999999999</v>
      </c>
      <c r="D43">
        <v>10</v>
      </c>
      <c r="E43">
        <v>75.400000000000006</v>
      </c>
      <c r="F43">
        <v>1.06</v>
      </c>
      <c r="G43">
        <v>0</v>
      </c>
      <c r="H43">
        <v>4.4000000000000004</v>
      </c>
      <c r="I43">
        <v>532644.46</v>
      </c>
      <c r="J43">
        <f t="shared" si="0"/>
        <v>528360.34336679999</v>
      </c>
      <c r="K43">
        <f t="shared" si="1"/>
        <v>4284.1166331999702</v>
      </c>
      <c r="L43">
        <f t="shared" si="2"/>
        <v>18353655.326860648</v>
      </c>
    </row>
    <row r="44" spans="1:12">
      <c r="A44">
        <v>68077.539999999994</v>
      </c>
      <c r="B44">
        <v>3360</v>
      </c>
      <c r="C44">
        <v>0.128</v>
      </c>
      <c r="D44">
        <v>14</v>
      </c>
      <c r="E44">
        <v>88.2</v>
      </c>
      <c r="F44">
        <v>1.24</v>
      </c>
      <c r="G44">
        <v>1</v>
      </c>
      <c r="H44">
        <v>4</v>
      </c>
      <c r="I44">
        <v>657429.18000000005</v>
      </c>
      <c r="J44">
        <f t="shared" si="0"/>
        <v>618065.51419939985</v>
      </c>
      <c r="K44">
        <f t="shared" si="1"/>
        <v>39363.665800600196</v>
      </c>
      <c r="L44">
        <f t="shared" si="2"/>
        <v>1549498185.2613416</v>
      </c>
    </row>
    <row r="45" spans="1:12">
      <c r="A45">
        <v>64882.14</v>
      </c>
      <c r="B45">
        <v>3642</v>
      </c>
      <c r="C45">
        <v>1.9E-2</v>
      </c>
      <c r="D45">
        <v>13</v>
      </c>
      <c r="E45">
        <v>87.8</v>
      </c>
      <c r="F45">
        <v>4.5199999999999996</v>
      </c>
      <c r="G45">
        <v>0</v>
      </c>
      <c r="H45">
        <v>4.2</v>
      </c>
      <c r="I45">
        <v>605178</v>
      </c>
      <c r="J45">
        <f t="shared" si="0"/>
        <v>605335.1020054</v>
      </c>
      <c r="K45">
        <f t="shared" si="1"/>
        <v>-157.10200539999641</v>
      </c>
      <c r="L45">
        <f t="shared" si="2"/>
        <v>24681.040100700502</v>
      </c>
    </row>
    <row r="46" spans="1:12">
      <c r="A46">
        <v>138855.51</v>
      </c>
      <c r="B46">
        <v>5145</v>
      </c>
      <c r="C46">
        <v>0.06</v>
      </c>
      <c r="D46">
        <v>17</v>
      </c>
      <c r="E46">
        <v>88.2</v>
      </c>
      <c r="F46">
        <v>9.58</v>
      </c>
      <c r="G46">
        <v>0</v>
      </c>
      <c r="H46">
        <v>3.2</v>
      </c>
      <c r="I46">
        <v>595467.6</v>
      </c>
      <c r="J46">
        <f t="shared" si="0"/>
        <v>720426.80121109996</v>
      </c>
      <c r="K46">
        <f t="shared" si="1"/>
        <v>-124959.20121109998</v>
      </c>
      <c r="L46">
        <f t="shared" si="2"/>
        <v>15614801967.31617</v>
      </c>
    </row>
    <row r="47" spans="1:12">
      <c r="A47">
        <v>63630.21</v>
      </c>
      <c r="B47">
        <v>4460</v>
      </c>
      <c r="C47">
        <v>0.23499999999999999</v>
      </c>
      <c r="D47">
        <v>14</v>
      </c>
      <c r="E47">
        <v>98.6</v>
      </c>
      <c r="F47">
        <v>5.52</v>
      </c>
      <c r="G47">
        <v>0</v>
      </c>
      <c r="H47">
        <v>3.5</v>
      </c>
      <c r="I47">
        <v>599603.4</v>
      </c>
      <c r="J47">
        <f t="shared" si="0"/>
        <v>636239.52727810002</v>
      </c>
      <c r="K47">
        <f t="shared" si="1"/>
        <v>-36636.127278100001</v>
      </c>
      <c r="L47">
        <f t="shared" si="2"/>
        <v>1342205821.9371428</v>
      </c>
    </row>
    <row r="48" spans="1:12">
      <c r="A48">
        <v>50043.65</v>
      </c>
      <c r="B48">
        <v>3804</v>
      </c>
      <c r="C48">
        <v>0.113</v>
      </c>
      <c r="D48">
        <v>11</v>
      </c>
      <c r="E48">
        <v>90.9</v>
      </c>
      <c r="F48">
        <v>2.7</v>
      </c>
      <c r="G48">
        <v>1</v>
      </c>
      <c r="H48">
        <v>3.2</v>
      </c>
      <c r="I48">
        <v>614800.09</v>
      </c>
      <c r="J48">
        <f t="shared" si="0"/>
        <v>596386.97487649985</v>
      </c>
      <c r="K48">
        <f t="shared" si="1"/>
        <v>18413.115123500116</v>
      </c>
      <c r="L48">
        <f t="shared" si="2"/>
        <v>339042808.5512687</v>
      </c>
    </row>
    <row r="49" spans="1:12">
      <c r="A49">
        <v>42093.84</v>
      </c>
      <c r="B49">
        <v>4074</v>
      </c>
      <c r="C49">
        <v>0.155</v>
      </c>
      <c r="D49">
        <v>15</v>
      </c>
      <c r="E49">
        <v>88</v>
      </c>
      <c r="F49">
        <v>9.64</v>
      </c>
      <c r="G49">
        <v>0</v>
      </c>
      <c r="H49">
        <v>3.3</v>
      </c>
      <c r="I49">
        <v>585365.73</v>
      </c>
      <c r="J49">
        <f t="shared" si="0"/>
        <v>563123.54164239997</v>
      </c>
      <c r="K49">
        <f t="shared" si="1"/>
        <v>22242.188357600011</v>
      </c>
      <c r="L49">
        <f t="shared" si="2"/>
        <v>494714942.93495744</v>
      </c>
    </row>
    <row r="50" spans="1:12">
      <c r="A50">
        <v>46624.05</v>
      </c>
      <c r="B50">
        <v>5104</v>
      </c>
      <c r="C50">
        <v>0.109</v>
      </c>
      <c r="D50">
        <v>11</v>
      </c>
      <c r="E50">
        <v>97.3</v>
      </c>
      <c r="F50">
        <v>3.49</v>
      </c>
      <c r="G50">
        <v>1</v>
      </c>
      <c r="H50">
        <v>4.7</v>
      </c>
      <c r="I50">
        <v>622811.74</v>
      </c>
      <c r="J50">
        <f t="shared" si="0"/>
        <v>661335.7749205</v>
      </c>
      <c r="K50">
        <f t="shared" si="1"/>
        <v>-38524.034920500009</v>
      </c>
      <c r="L50">
        <f t="shared" si="2"/>
        <v>1484101266.5559042</v>
      </c>
    </row>
    <row r="51" spans="1:12">
      <c r="A51">
        <v>49710.29</v>
      </c>
      <c r="B51">
        <v>5559</v>
      </c>
      <c r="C51">
        <v>0.218</v>
      </c>
      <c r="D51">
        <v>14</v>
      </c>
      <c r="E51">
        <v>71</v>
      </c>
      <c r="F51">
        <v>9.11</v>
      </c>
      <c r="G51">
        <v>0</v>
      </c>
      <c r="H51">
        <v>4.5999999999999996</v>
      </c>
      <c r="I51">
        <v>603297.56999999995</v>
      </c>
      <c r="J51">
        <f t="shared" si="0"/>
        <v>570173.57092690002</v>
      </c>
      <c r="K51">
        <f t="shared" si="1"/>
        <v>33123.999073099927</v>
      </c>
      <c r="L51">
        <f t="shared" si="2"/>
        <v>1097199314.5947249</v>
      </c>
    </row>
    <row r="52" spans="1:12">
      <c r="A52">
        <v>48287.85</v>
      </c>
      <c r="B52">
        <v>5150</v>
      </c>
      <c r="C52">
        <v>8.0000000000000002E-3</v>
      </c>
      <c r="D52">
        <v>12</v>
      </c>
      <c r="E52">
        <v>80.400000000000006</v>
      </c>
      <c r="F52">
        <v>7.4</v>
      </c>
      <c r="G52">
        <v>0</v>
      </c>
      <c r="H52">
        <v>4.5</v>
      </c>
      <c r="I52">
        <v>625672.86</v>
      </c>
      <c r="J52">
        <f t="shared" si="0"/>
        <v>598065.00383850012</v>
      </c>
      <c r="K52">
        <f t="shared" si="1"/>
        <v>27607.856161499862</v>
      </c>
      <c r="L52">
        <f t="shared" si="2"/>
        <v>762193721.83406591</v>
      </c>
    </row>
    <row r="53" spans="1:12">
      <c r="A53">
        <v>65312.49</v>
      </c>
      <c r="B53">
        <v>7189</v>
      </c>
      <c r="C53">
        <v>0.05</v>
      </c>
      <c r="D53">
        <v>19</v>
      </c>
      <c r="E53">
        <v>93.7</v>
      </c>
      <c r="F53">
        <v>7.16</v>
      </c>
      <c r="G53">
        <v>0</v>
      </c>
      <c r="H53">
        <v>4.5999999999999996</v>
      </c>
      <c r="I53">
        <v>773815.14</v>
      </c>
      <c r="J53">
        <f t="shared" si="0"/>
        <v>735107.4522689</v>
      </c>
      <c r="K53">
        <f t="shared" si="1"/>
        <v>38707.687731100013</v>
      </c>
      <c r="L53">
        <f t="shared" si="2"/>
        <v>1498285089.4883504</v>
      </c>
    </row>
    <row r="54" spans="1:12">
      <c r="A54">
        <v>53015.46</v>
      </c>
      <c r="B54">
        <v>3279</v>
      </c>
      <c r="C54">
        <v>8.6999999999999994E-2</v>
      </c>
      <c r="D54">
        <v>9</v>
      </c>
      <c r="E54">
        <v>84.3</v>
      </c>
      <c r="F54">
        <v>22.02</v>
      </c>
      <c r="G54">
        <v>0</v>
      </c>
      <c r="H54">
        <v>3.9</v>
      </c>
      <c r="I54">
        <v>463534.25</v>
      </c>
      <c r="J54">
        <f t="shared" si="0"/>
        <v>499742.81253059994</v>
      </c>
      <c r="K54">
        <f t="shared" si="1"/>
        <v>-36208.562530599942</v>
      </c>
      <c r="L54">
        <f t="shared" si="2"/>
        <v>1311060000.532366</v>
      </c>
    </row>
    <row r="55" spans="1:12">
      <c r="A55">
        <v>99874.01</v>
      </c>
      <c r="B55">
        <v>5887</v>
      </c>
      <c r="C55">
        <v>0.26200000000000001</v>
      </c>
      <c r="D55">
        <v>14</v>
      </c>
      <c r="E55">
        <v>88.7</v>
      </c>
      <c r="F55">
        <v>6.18</v>
      </c>
      <c r="G55">
        <v>0</v>
      </c>
      <c r="H55">
        <v>4.7</v>
      </c>
      <c r="I55">
        <v>746677.75</v>
      </c>
      <c r="J55">
        <f t="shared" si="0"/>
        <v>698035.9319961</v>
      </c>
      <c r="K55">
        <f t="shared" si="1"/>
        <v>48641.8180039</v>
      </c>
      <c r="L55">
        <f t="shared" si="2"/>
        <v>2366026458.7245302</v>
      </c>
    </row>
    <row r="56" spans="1:12">
      <c r="A56">
        <v>81195.5</v>
      </c>
      <c r="B56">
        <v>5516</v>
      </c>
      <c r="C56">
        <v>0.106</v>
      </c>
      <c r="D56">
        <v>14</v>
      </c>
      <c r="E56">
        <v>88</v>
      </c>
      <c r="F56">
        <v>1.76</v>
      </c>
      <c r="G56">
        <v>0</v>
      </c>
      <c r="H56">
        <v>4.3</v>
      </c>
      <c r="I56">
        <v>720852.5</v>
      </c>
      <c r="J56">
        <f t="shared" si="0"/>
        <v>683311.69075499999</v>
      </c>
      <c r="K56">
        <f t="shared" si="1"/>
        <v>37540.809245000011</v>
      </c>
      <c r="L56">
        <f t="shared" si="2"/>
        <v>1409312358.7694783</v>
      </c>
    </row>
    <row r="57" spans="1:12">
      <c r="A57">
        <v>27808.6</v>
      </c>
      <c r="B57">
        <v>2863</v>
      </c>
      <c r="C57">
        <v>0.08</v>
      </c>
      <c r="D57">
        <v>13</v>
      </c>
      <c r="E57">
        <v>89.3</v>
      </c>
      <c r="F57">
        <v>0.47</v>
      </c>
      <c r="G57">
        <v>0</v>
      </c>
      <c r="H57">
        <v>4.0999999999999996</v>
      </c>
      <c r="I57">
        <v>487464.91</v>
      </c>
      <c r="J57">
        <f t="shared" si="0"/>
        <v>550426.65324600006</v>
      </c>
      <c r="K57">
        <f t="shared" si="1"/>
        <v>-62961.743246000085</v>
      </c>
      <c r="L57">
        <f t="shared" si="2"/>
        <v>3964181112.5752373</v>
      </c>
    </row>
    <row r="58" spans="1:12">
      <c r="A58">
        <v>19365.060000000001</v>
      </c>
      <c r="B58">
        <v>2378</v>
      </c>
      <c r="C58">
        <v>0</v>
      </c>
      <c r="D58">
        <v>12</v>
      </c>
      <c r="E58">
        <v>94.8</v>
      </c>
      <c r="F58">
        <v>0.2</v>
      </c>
      <c r="G58">
        <v>0</v>
      </c>
      <c r="H58">
        <v>3.5</v>
      </c>
      <c r="I58">
        <v>518049.26</v>
      </c>
      <c r="J58">
        <f t="shared" si="0"/>
        <v>540550.18678660004</v>
      </c>
      <c r="K58">
        <f t="shared" si="1"/>
        <v>-22500.92678660003</v>
      </c>
      <c r="L58">
        <f t="shared" si="2"/>
        <v>506291706.25593477</v>
      </c>
    </row>
    <row r="59" spans="1:12">
      <c r="A59">
        <v>59405.68</v>
      </c>
      <c r="B59">
        <v>2515</v>
      </c>
      <c r="C59">
        <v>3.9E-2</v>
      </c>
      <c r="D59">
        <v>12</v>
      </c>
      <c r="E59">
        <v>76</v>
      </c>
      <c r="F59">
        <v>5.1100000000000003</v>
      </c>
      <c r="G59">
        <v>0</v>
      </c>
      <c r="H59">
        <v>3.7</v>
      </c>
      <c r="I59">
        <v>500298.48</v>
      </c>
      <c r="J59">
        <f t="shared" si="0"/>
        <v>520723.80826479994</v>
      </c>
      <c r="K59">
        <f t="shared" si="1"/>
        <v>-20425.328264799959</v>
      </c>
      <c r="L59">
        <f t="shared" si="2"/>
        <v>417194034.72483611</v>
      </c>
    </row>
    <row r="60" spans="1:12">
      <c r="A60">
        <v>118910.48</v>
      </c>
      <c r="B60">
        <v>4022</v>
      </c>
      <c r="C60">
        <v>0.13700000000000001</v>
      </c>
      <c r="D60">
        <v>11</v>
      </c>
      <c r="E60">
        <v>87.1</v>
      </c>
      <c r="F60">
        <v>0.2</v>
      </c>
      <c r="G60">
        <v>0</v>
      </c>
      <c r="H60">
        <v>3.1</v>
      </c>
      <c r="I60">
        <v>617291.15</v>
      </c>
      <c r="J60">
        <f t="shared" si="0"/>
        <v>664217.32919279987</v>
      </c>
      <c r="K60">
        <f t="shared" si="1"/>
        <v>-46926.179192799842</v>
      </c>
      <c r="L60">
        <f t="shared" si="2"/>
        <v>2202066293.6347609</v>
      </c>
    </row>
    <row r="61" spans="1:12">
      <c r="A61">
        <v>52952.12</v>
      </c>
      <c r="B61">
        <v>4377</v>
      </c>
      <c r="C61">
        <v>9.1999999999999998E-2</v>
      </c>
      <c r="D61">
        <v>14</v>
      </c>
      <c r="E61">
        <v>88.6</v>
      </c>
      <c r="F61">
        <v>13.59</v>
      </c>
      <c r="G61">
        <v>0</v>
      </c>
      <c r="H61">
        <v>3.1</v>
      </c>
      <c r="I61">
        <v>553756.43000000005</v>
      </c>
      <c r="J61">
        <f t="shared" si="0"/>
        <v>574187.07499320002</v>
      </c>
      <c r="K61">
        <f t="shared" si="1"/>
        <v>-20430.644993199967</v>
      </c>
      <c r="L61">
        <f t="shared" si="2"/>
        <v>417411254.83816689</v>
      </c>
    </row>
    <row r="62" spans="1:12">
      <c r="A62">
        <v>74907.98</v>
      </c>
      <c r="B62">
        <v>5306</v>
      </c>
      <c r="C62">
        <v>6.2E-2</v>
      </c>
      <c r="D62">
        <v>16</v>
      </c>
      <c r="E62">
        <v>95.6</v>
      </c>
      <c r="F62">
        <v>1.02</v>
      </c>
      <c r="G62">
        <v>0</v>
      </c>
      <c r="H62">
        <v>3.7</v>
      </c>
      <c r="I62">
        <v>749559.71</v>
      </c>
      <c r="J62">
        <f t="shared" si="0"/>
        <v>697944.92816780007</v>
      </c>
      <c r="K62">
        <f t="shared" si="1"/>
        <v>51614.781832199893</v>
      </c>
      <c r="L62">
        <f t="shared" si="2"/>
        <v>2664085703.5855923</v>
      </c>
    </row>
    <row r="63" spans="1:12">
      <c r="A63">
        <v>37284.660000000003</v>
      </c>
      <c r="B63">
        <v>3928</v>
      </c>
      <c r="C63">
        <v>7.3999999999999996E-2</v>
      </c>
      <c r="D63">
        <v>12</v>
      </c>
      <c r="E63">
        <v>86.5</v>
      </c>
      <c r="F63">
        <v>1.64</v>
      </c>
      <c r="G63">
        <v>0</v>
      </c>
      <c r="H63">
        <v>3.8</v>
      </c>
      <c r="I63">
        <v>615966.48</v>
      </c>
      <c r="J63">
        <f t="shared" si="0"/>
        <v>573797.03874260001</v>
      </c>
      <c r="K63">
        <f t="shared" si="1"/>
        <v>42169.441257399973</v>
      </c>
      <c r="L63">
        <f t="shared" si="2"/>
        <v>1778261775.961307</v>
      </c>
    </row>
    <row r="64" spans="1:12">
      <c r="A64">
        <v>50343.19</v>
      </c>
      <c r="B64">
        <v>3845</v>
      </c>
      <c r="C64">
        <v>0.113</v>
      </c>
      <c r="D64">
        <v>9</v>
      </c>
      <c r="E64">
        <v>88.7</v>
      </c>
      <c r="F64">
        <v>5.15</v>
      </c>
      <c r="G64">
        <v>0</v>
      </c>
      <c r="H64">
        <v>3.3</v>
      </c>
      <c r="I64">
        <v>572011.19999999995</v>
      </c>
      <c r="J64">
        <f t="shared" si="0"/>
        <v>566117.90449589991</v>
      </c>
      <c r="K64">
        <f t="shared" si="1"/>
        <v>5893.2955041000387</v>
      </c>
      <c r="L64">
        <f t="shared" si="2"/>
        <v>34730931.898645729</v>
      </c>
    </row>
    <row r="65" spans="1:12">
      <c r="A65">
        <v>74954.47</v>
      </c>
      <c r="B65">
        <v>6620</v>
      </c>
      <c r="C65">
        <v>5.3999999999999999E-2</v>
      </c>
      <c r="D65">
        <v>17</v>
      </c>
      <c r="E65">
        <v>91.1</v>
      </c>
      <c r="F65">
        <v>1.1100000000000001</v>
      </c>
      <c r="G65">
        <v>0</v>
      </c>
      <c r="H65">
        <v>3.5</v>
      </c>
      <c r="I65">
        <v>761860.19</v>
      </c>
      <c r="J65">
        <f t="shared" si="0"/>
        <v>722467.47217670002</v>
      </c>
      <c r="K65">
        <f t="shared" si="1"/>
        <v>39392.717823299929</v>
      </c>
      <c r="L65">
        <f t="shared" si="2"/>
        <v>1551786217.5061319</v>
      </c>
    </row>
    <row r="66" spans="1:12">
      <c r="A66">
        <v>70040.31</v>
      </c>
      <c r="B66">
        <v>9175</v>
      </c>
      <c r="C66">
        <v>0.107</v>
      </c>
      <c r="D66">
        <v>23</v>
      </c>
      <c r="E66">
        <v>95.1</v>
      </c>
      <c r="F66">
        <v>6.08</v>
      </c>
      <c r="G66">
        <v>1</v>
      </c>
      <c r="H66">
        <v>3.4</v>
      </c>
      <c r="I66">
        <v>784502.68</v>
      </c>
      <c r="J66">
        <f t="shared" si="0"/>
        <v>812035.19493910007</v>
      </c>
      <c r="K66">
        <f t="shared" si="1"/>
        <v>-27532.514939100016</v>
      </c>
      <c r="L66">
        <f t="shared" si="2"/>
        <v>758039378.87176549</v>
      </c>
    </row>
    <row r="67" spans="1:12">
      <c r="A67">
        <v>51148.69</v>
      </c>
      <c r="B67">
        <v>7940</v>
      </c>
      <c r="C67">
        <v>0.156</v>
      </c>
      <c r="D67">
        <v>18</v>
      </c>
      <c r="E67">
        <v>93.3</v>
      </c>
      <c r="F67">
        <v>10.91</v>
      </c>
      <c r="G67">
        <v>0</v>
      </c>
      <c r="H67">
        <v>3.6</v>
      </c>
      <c r="I67">
        <v>717141.55</v>
      </c>
      <c r="J67">
        <f t="shared" ref="J67:J130" si="3">95006.4+(1.18561*A67)+(27.858*B67)+(-72102*C67)+(3084.08*D67)+(2989.33*E67)+(-2890.2*F67)+(12984.1*G67)+(10433.9*H67)</f>
        <v>706041.29335089994</v>
      </c>
      <c r="K67">
        <f t="shared" ref="K67:K130" si="4">I67-J67</f>
        <v>11100.256649100105</v>
      </c>
      <c r="L67">
        <f t="shared" ref="L67:L130" si="5">K67^2</f>
        <v>123215697.6758911</v>
      </c>
    </row>
    <row r="68" spans="1:12">
      <c r="A68">
        <v>79346.100000000006</v>
      </c>
      <c r="B68">
        <v>9628</v>
      </c>
      <c r="C68">
        <v>0.10199999999999999</v>
      </c>
      <c r="D68">
        <v>20</v>
      </c>
      <c r="E68">
        <v>99</v>
      </c>
      <c r="F68">
        <v>19.010000000000002</v>
      </c>
      <c r="G68">
        <v>1</v>
      </c>
      <c r="H68">
        <v>3.2</v>
      </c>
      <c r="I68">
        <v>685379.08</v>
      </c>
      <c r="J68">
        <f t="shared" si="3"/>
        <v>798997.49762099993</v>
      </c>
      <c r="K68">
        <f t="shared" si="4"/>
        <v>-113618.41762099997</v>
      </c>
      <c r="L68">
        <f t="shared" si="5"/>
        <v>12909144822.699957</v>
      </c>
    </row>
    <row r="69" spans="1:12">
      <c r="A69">
        <v>42018.400000000001</v>
      </c>
      <c r="B69">
        <v>8296</v>
      </c>
      <c r="C69">
        <v>0.115</v>
      </c>
      <c r="D69">
        <v>17</v>
      </c>
      <c r="E69">
        <v>91.8</v>
      </c>
      <c r="F69">
        <v>0.77</v>
      </c>
      <c r="G69">
        <v>0</v>
      </c>
      <c r="H69">
        <v>3.4</v>
      </c>
      <c r="I69">
        <v>740496.65</v>
      </c>
      <c r="J69">
        <f t="shared" si="3"/>
        <v>727741.73322399997</v>
      </c>
      <c r="K69">
        <f t="shared" si="4"/>
        <v>12754.916776000056</v>
      </c>
      <c r="L69">
        <f t="shared" si="5"/>
        <v>162687901.96268767</v>
      </c>
    </row>
    <row r="70" spans="1:12">
      <c r="A70">
        <v>70937.240000000005</v>
      </c>
      <c r="B70">
        <v>3595</v>
      </c>
      <c r="C70">
        <v>0.14099999999999999</v>
      </c>
      <c r="D70">
        <v>11</v>
      </c>
      <c r="E70">
        <v>88.9</v>
      </c>
      <c r="F70">
        <v>2.83</v>
      </c>
      <c r="G70">
        <v>1</v>
      </c>
      <c r="H70">
        <v>3.3</v>
      </c>
      <c r="I70">
        <v>661927.14</v>
      </c>
      <c r="J70">
        <f t="shared" si="3"/>
        <v>608006.45011640002</v>
      </c>
      <c r="K70">
        <f t="shared" si="4"/>
        <v>53920.689883599989</v>
      </c>
      <c r="L70">
        <f t="shared" si="5"/>
        <v>2907440797.5233622</v>
      </c>
    </row>
    <row r="71" spans="1:12">
      <c r="A71">
        <v>36813.449999999997</v>
      </c>
      <c r="B71">
        <v>2834</v>
      </c>
      <c r="C71">
        <v>0.191</v>
      </c>
      <c r="D71">
        <v>11</v>
      </c>
      <c r="E71">
        <v>81.8</v>
      </c>
      <c r="F71">
        <v>2.33</v>
      </c>
      <c r="G71">
        <v>0</v>
      </c>
      <c r="H71">
        <v>3.3</v>
      </c>
      <c r="I71">
        <v>479050.5</v>
      </c>
      <c r="J71">
        <f t="shared" si="3"/>
        <v>509980.66245449998</v>
      </c>
      <c r="K71">
        <f t="shared" si="4"/>
        <v>-30930.16245449998</v>
      </c>
      <c r="L71">
        <f t="shared" si="5"/>
        <v>956674949.46176016</v>
      </c>
    </row>
    <row r="72" spans="1:12">
      <c r="A72">
        <v>60571.82</v>
      </c>
      <c r="B72">
        <v>3193</v>
      </c>
      <c r="C72">
        <v>0.19700000000000001</v>
      </c>
      <c r="D72">
        <v>7</v>
      </c>
      <c r="E72">
        <v>99</v>
      </c>
      <c r="F72">
        <v>1.43</v>
      </c>
      <c r="G72">
        <v>0</v>
      </c>
      <c r="H72">
        <v>3.2</v>
      </c>
      <c r="I72">
        <v>605023.87</v>
      </c>
      <c r="J72">
        <f t="shared" si="3"/>
        <v>588355.17951019993</v>
      </c>
      <c r="K72">
        <f t="shared" si="4"/>
        <v>16668.690489800065</v>
      </c>
      <c r="L72">
        <f t="shared" si="5"/>
        <v>277845242.64475113</v>
      </c>
    </row>
    <row r="73" spans="1:12">
      <c r="A73">
        <v>55081.16</v>
      </c>
      <c r="B73">
        <v>5485</v>
      </c>
      <c r="C73">
        <v>3.5999999999999997E-2</v>
      </c>
      <c r="D73">
        <v>12</v>
      </c>
      <c r="E73">
        <v>88</v>
      </c>
      <c r="F73" s="4">
        <f>4.559045</f>
        <v>4.5590450000000002</v>
      </c>
      <c r="G73">
        <v>0</v>
      </c>
      <c r="H73">
        <v>3.5</v>
      </c>
      <c r="I73">
        <v>674774.09</v>
      </c>
      <c r="J73">
        <f t="shared" si="3"/>
        <v>633928.73024860001</v>
      </c>
      <c r="K73">
        <f t="shared" si="4"/>
        <v>40845.359751399956</v>
      </c>
      <c r="L73">
        <f t="shared" si="5"/>
        <v>1668343413.2212834</v>
      </c>
    </row>
    <row r="74" spans="1:12">
      <c r="A74">
        <v>46201.46</v>
      </c>
      <c r="B74">
        <v>5918</v>
      </c>
      <c r="C74">
        <v>0.27700000000000002</v>
      </c>
      <c r="D74">
        <v>13</v>
      </c>
      <c r="E74">
        <v>78.8</v>
      </c>
      <c r="F74">
        <v>4.91</v>
      </c>
      <c r="G74">
        <v>0</v>
      </c>
      <c r="H74">
        <v>4.5</v>
      </c>
      <c r="I74">
        <v>616069.41</v>
      </c>
      <c r="J74">
        <f t="shared" si="3"/>
        <v>603088.61499060004</v>
      </c>
      <c r="K74">
        <f t="shared" si="4"/>
        <v>12980.795009399997</v>
      </c>
      <c r="L74">
        <f t="shared" si="5"/>
        <v>168501039.07606387</v>
      </c>
    </row>
    <row r="75" spans="1:12">
      <c r="A75">
        <v>53762.92</v>
      </c>
      <c r="B75">
        <v>6821</v>
      </c>
      <c r="C75">
        <v>6.6000000000000003E-2</v>
      </c>
      <c r="D75">
        <v>19</v>
      </c>
      <c r="E75">
        <v>94.6</v>
      </c>
      <c r="F75">
        <v>7.03</v>
      </c>
      <c r="G75">
        <v>0</v>
      </c>
      <c r="H75">
        <v>4.4000000000000004</v>
      </c>
      <c r="I75">
        <v>630829.93999999994</v>
      </c>
      <c r="J75">
        <f t="shared" si="3"/>
        <v>710988.13358119992</v>
      </c>
      <c r="K75">
        <f t="shared" si="4"/>
        <v>-80158.193581199972</v>
      </c>
      <c r="L75">
        <f t="shared" si="5"/>
        <v>6425335998.201128</v>
      </c>
    </row>
    <row r="76" spans="1:12">
      <c r="A76">
        <v>70144.78</v>
      </c>
      <c r="B76">
        <v>6806</v>
      </c>
      <c r="C76">
        <v>0.17799999999999999</v>
      </c>
      <c r="D76">
        <v>20</v>
      </c>
      <c r="E76">
        <v>93.1</v>
      </c>
      <c r="F76">
        <v>0.28000000000000003</v>
      </c>
      <c r="G76">
        <v>1</v>
      </c>
      <c r="H76">
        <v>4.3</v>
      </c>
      <c r="I76">
        <v>788087.68</v>
      </c>
      <c r="J76">
        <f t="shared" si="3"/>
        <v>751966.98161579983</v>
      </c>
      <c r="K76">
        <f t="shared" si="4"/>
        <v>36120.698384200223</v>
      </c>
      <c r="L76">
        <f t="shared" si="5"/>
        <v>1304704851.7623646</v>
      </c>
    </row>
    <row r="77" spans="1:12">
      <c r="A77">
        <v>58749.63</v>
      </c>
      <c r="B77">
        <v>8252</v>
      </c>
      <c r="C77">
        <v>0.20300000000000001</v>
      </c>
      <c r="D77">
        <v>20</v>
      </c>
      <c r="E77">
        <v>85.2</v>
      </c>
      <c r="F77">
        <v>3.61</v>
      </c>
      <c r="G77">
        <v>0</v>
      </c>
      <c r="H77">
        <v>4.5</v>
      </c>
      <c r="I77">
        <v>680840.36</v>
      </c>
      <c r="J77">
        <f t="shared" si="3"/>
        <v>732799.50282430009</v>
      </c>
      <c r="K77">
        <f t="shared" si="4"/>
        <v>-51959.142824300099</v>
      </c>
      <c r="L77">
        <f t="shared" si="5"/>
        <v>2699752523.0360165</v>
      </c>
    </row>
    <row r="78" spans="1:12">
      <c r="A78">
        <v>56973.18</v>
      </c>
      <c r="B78">
        <v>6662</v>
      </c>
      <c r="C78">
        <v>0.1</v>
      </c>
      <c r="D78">
        <v>15</v>
      </c>
      <c r="E78">
        <v>77.7</v>
      </c>
      <c r="F78">
        <v>7.52</v>
      </c>
      <c r="G78">
        <v>1</v>
      </c>
      <c r="H78">
        <v>3.2</v>
      </c>
      <c r="I78">
        <v>643657.47</v>
      </c>
      <c r="J78">
        <f t="shared" si="3"/>
        <v>644104.58493979997</v>
      </c>
      <c r="K78">
        <f t="shared" si="4"/>
        <v>-447.11493979999796</v>
      </c>
      <c r="L78">
        <f t="shared" si="5"/>
        <v>199911.76939235578</v>
      </c>
    </row>
    <row r="79" spans="1:12">
      <c r="A79">
        <v>54872.82</v>
      </c>
      <c r="B79">
        <v>5962</v>
      </c>
      <c r="C79">
        <v>6.4000000000000001E-2</v>
      </c>
      <c r="D79">
        <v>12</v>
      </c>
      <c r="E79">
        <v>85.4</v>
      </c>
      <c r="F79">
        <v>2.58</v>
      </c>
      <c r="G79">
        <v>0</v>
      </c>
      <c r="H79">
        <v>2.9</v>
      </c>
      <c r="I79">
        <v>691112.6</v>
      </c>
      <c r="J79">
        <f t="shared" si="3"/>
        <v>636638.3681202</v>
      </c>
      <c r="K79">
        <f t="shared" si="4"/>
        <v>54474.231879799976</v>
      </c>
      <c r="L79">
        <f t="shared" si="5"/>
        <v>2967441938.8942161</v>
      </c>
    </row>
    <row r="80" spans="1:12">
      <c r="A80">
        <v>80562.81</v>
      </c>
      <c r="B80">
        <v>7470</v>
      </c>
      <c r="C80">
        <v>0.17199999999999999</v>
      </c>
      <c r="D80">
        <v>16</v>
      </c>
      <c r="E80">
        <v>83.5</v>
      </c>
      <c r="F80">
        <v>2.29</v>
      </c>
      <c r="G80">
        <v>0</v>
      </c>
      <c r="H80">
        <v>3.3</v>
      </c>
      <c r="I80">
        <v>776922.17</v>
      </c>
      <c r="J80">
        <f t="shared" si="3"/>
        <v>712987.83616409998</v>
      </c>
      <c r="K80">
        <f t="shared" si="4"/>
        <v>63934.333835900063</v>
      </c>
      <c r="L80">
        <f t="shared" si="5"/>
        <v>4087599043.0403156</v>
      </c>
    </row>
    <row r="81" spans="1:12">
      <c r="A81">
        <v>77999.899999999994</v>
      </c>
      <c r="B81">
        <v>5974</v>
      </c>
      <c r="C81">
        <v>0.252</v>
      </c>
      <c r="D81">
        <v>14</v>
      </c>
      <c r="E81">
        <v>81.3</v>
      </c>
      <c r="F81">
        <v>2.39</v>
      </c>
      <c r="G81">
        <v>0</v>
      </c>
      <c r="H81">
        <v>3.2</v>
      </c>
      <c r="I81">
        <v>636561.34</v>
      </c>
      <c r="J81">
        <f t="shared" si="3"/>
        <v>648428.40043899999</v>
      </c>
      <c r="K81">
        <f t="shared" si="4"/>
        <v>-11867.060439000023</v>
      </c>
      <c r="L81">
        <f t="shared" si="5"/>
        <v>140827123.46287942</v>
      </c>
    </row>
    <row r="82" spans="1:12">
      <c r="A82">
        <v>60881.01</v>
      </c>
      <c r="B82">
        <v>5410</v>
      </c>
      <c r="C82">
        <v>0.17899999999999999</v>
      </c>
      <c r="D82">
        <v>15</v>
      </c>
      <c r="E82">
        <v>83.9</v>
      </c>
      <c r="F82">
        <v>5.24</v>
      </c>
      <c r="G82">
        <v>0</v>
      </c>
      <c r="H82">
        <v>4.5999999999999996</v>
      </c>
      <c r="I82">
        <v>621369.57999999996</v>
      </c>
      <c r="J82">
        <f t="shared" si="3"/>
        <v>634910.33526610001</v>
      </c>
      <c r="K82">
        <f t="shared" si="4"/>
        <v>-13540.755266100052</v>
      </c>
      <c r="L82">
        <f t="shared" si="5"/>
        <v>183352053.17641628</v>
      </c>
    </row>
    <row r="83" spans="1:12">
      <c r="A83">
        <v>60628.38</v>
      </c>
      <c r="B83">
        <v>4451</v>
      </c>
      <c r="C83">
        <v>9.5000000000000001E-2</v>
      </c>
      <c r="D83">
        <v>10</v>
      </c>
      <c r="E83">
        <v>89.6</v>
      </c>
      <c r="F83">
        <v>3.17</v>
      </c>
      <c r="G83">
        <v>0</v>
      </c>
      <c r="H83">
        <v>4.5999999999999996</v>
      </c>
      <c r="I83">
        <v>682208.01</v>
      </c>
      <c r="J83">
        <f t="shared" si="3"/>
        <v>621553.05561179982</v>
      </c>
      <c r="K83">
        <f t="shared" si="4"/>
        <v>60654.954388200189</v>
      </c>
      <c r="L83">
        <f t="shared" si="5"/>
        <v>3679023491.8346453</v>
      </c>
    </row>
    <row r="84" spans="1:12">
      <c r="A84">
        <v>72731.14</v>
      </c>
      <c r="B84">
        <v>4644</v>
      </c>
      <c r="C84">
        <v>8.4000000000000005E-2</v>
      </c>
      <c r="D84">
        <v>15</v>
      </c>
      <c r="E84">
        <v>87.1</v>
      </c>
      <c r="F84">
        <v>2.66</v>
      </c>
      <c r="G84">
        <v>0</v>
      </c>
      <c r="H84">
        <v>4.5999999999999996</v>
      </c>
      <c r="I84">
        <v>727241.86</v>
      </c>
      <c r="J84">
        <f t="shared" si="3"/>
        <v>651493.00189539976</v>
      </c>
      <c r="K84">
        <f t="shared" si="4"/>
        <v>75748.858104600222</v>
      </c>
      <c r="L84">
        <f t="shared" si="5"/>
        <v>5737889504.1508589</v>
      </c>
    </row>
    <row r="85" spans="1:12">
      <c r="A85">
        <v>36475.71</v>
      </c>
      <c r="B85">
        <v>3559</v>
      </c>
      <c r="C85">
        <v>0.03</v>
      </c>
      <c r="D85">
        <v>8</v>
      </c>
      <c r="E85">
        <v>83.6</v>
      </c>
      <c r="F85">
        <v>1.41</v>
      </c>
      <c r="G85">
        <v>0</v>
      </c>
      <c r="H85">
        <v>4.2</v>
      </c>
      <c r="I85">
        <v>569100.78</v>
      </c>
      <c r="J85">
        <f t="shared" si="3"/>
        <v>549563.75453309994</v>
      </c>
      <c r="K85">
        <f t="shared" si="4"/>
        <v>19537.025466900086</v>
      </c>
      <c r="L85">
        <f t="shared" si="5"/>
        <v>381695364.09430254</v>
      </c>
    </row>
    <row r="86" spans="1:12">
      <c r="A86">
        <v>55388.11</v>
      </c>
      <c r="B86">
        <v>3091</v>
      </c>
      <c r="C86">
        <v>0.108</v>
      </c>
      <c r="D86">
        <v>7</v>
      </c>
      <c r="E86">
        <v>85.4</v>
      </c>
      <c r="F86">
        <v>7.34</v>
      </c>
      <c r="G86">
        <v>0</v>
      </c>
      <c r="H86">
        <v>4.9000000000000004</v>
      </c>
      <c r="I86">
        <v>574436.29</v>
      </c>
      <c r="J86">
        <f t="shared" si="3"/>
        <v>545786.54309709999</v>
      </c>
      <c r="K86">
        <f t="shared" si="4"/>
        <v>28649.746902900049</v>
      </c>
      <c r="L86">
        <f t="shared" si="5"/>
        <v>820807997.60023093</v>
      </c>
    </row>
    <row r="87" spans="1:12">
      <c r="A87">
        <v>88443.77</v>
      </c>
      <c r="B87">
        <v>4004</v>
      </c>
      <c r="C87">
        <v>0.20599999999999999</v>
      </c>
      <c r="D87">
        <v>11</v>
      </c>
      <c r="E87">
        <v>91.9</v>
      </c>
      <c r="F87">
        <v>5.95</v>
      </c>
      <c r="G87">
        <v>0</v>
      </c>
      <c r="H87">
        <f>3.924</f>
        <v>3.9239999999999999</v>
      </c>
      <c r="I87">
        <v>611766.72</v>
      </c>
      <c r="J87">
        <f t="shared" si="3"/>
        <v>628946.87874970015</v>
      </c>
      <c r="K87">
        <f t="shared" si="4"/>
        <v>-17180.158749700175</v>
      </c>
      <c r="L87">
        <f t="shared" si="5"/>
        <v>295157854.66489947</v>
      </c>
    </row>
    <row r="88" spans="1:12">
      <c r="A88">
        <v>78231.91</v>
      </c>
      <c r="B88">
        <v>3788</v>
      </c>
      <c r="C88">
        <v>5.8999999999999997E-2</v>
      </c>
      <c r="D88">
        <v>11</v>
      </c>
      <c r="E88">
        <v>88.5</v>
      </c>
      <c r="F88">
        <v>15.51</v>
      </c>
      <c r="G88">
        <v>0</v>
      </c>
      <c r="H88">
        <v>4.3</v>
      </c>
      <c r="I88">
        <v>614596.31999999995</v>
      </c>
      <c r="J88">
        <f t="shared" si="3"/>
        <v>587550.37381510006</v>
      </c>
      <c r="K88">
        <f t="shared" si="4"/>
        <v>27045.946184899891</v>
      </c>
      <c r="L88">
        <f t="shared" si="5"/>
        <v>731483205.03650093</v>
      </c>
    </row>
    <row r="89" spans="1:12">
      <c r="A89">
        <v>18996.32</v>
      </c>
      <c r="B89">
        <v>1260</v>
      </c>
      <c r="C89">
        <v>0.14499999999999999</v>
      </c>
      <c r="D89">
        <v>9</v>
      </c>
      <c r="E89">
        <v>86.4</v>
      </c>
      <c r="F89">
        <v>4.3099999999999996</v>
      </c>
      <c r="G89">
        <v>0</v>
      </c>
      <c r="H89">
        <v>4.5999999999999996</v>
      </c>
      <c r="I89">
        <v>450711.92</v>
      </c>
      <c r="J89">
        <f t="shared" si="3"/>
        <v>463748.92695520003</v>
      </c>
      <c r="K89">
        <f t="shared" si="4"/>
        <v>-13037.00695520005</v>
      </c>
      <c r="L89">
        <f t="shared" si="5"/>
        <v>169963550.34993446</v>
      </c>
    </row>
    <row r="90" spans="1:12">
      <c r="A90">
        <v>50517.94</v>
      </c>
      <c r="B90">
        <v>7024</v>
      </c>
      <c r="C90">
        <v>2.9000000000000001E-2</v>
      </c>
      <c r="D90">
        <v>18</v>
      </c>
      <c r="E90">
        <v>79.2</v>
      </c>
      <c r="F90">
        <v>6.61</v>
      </c>
      <c r="G90">
        <v>1</v>
      </c>
      <c r="H90">
        <v>4.0999999999999996</v>
      </c>
      <c r="I90">
        <v>711213.46</v>
      </c>
      <c r="J90">
        <f t="shared" si="3"/>
        <v>677411.85284340009</v>
      </c>
      <c r="K90">
        <f t="shared" si="4"/>
        <v>33801.607156599872</v>
      </c>
      <c r="L90">
        <f t="shared" si="5"/>
        <v>1142548646.3691037</v>
      </c>
    </row>
    <row r="91" spans="1:12">
      <c r="A91">
        <v>141540.29</v>
      </c>
      <c r="B91">
        <v>5400</v>
      </c>
      <c r="C91">
        <v>1.2999999999999999E-2</v>
      </c>
      <c r="D91">
        <v>12</v>
      </c>
      <c r="E91">
        <v>87</v>
      </c>
      <c r="F91">
        <v>4.26</v>
      </c>
      <c r="G91">
        <v>0</v>
      </c>
      <c r="H91">
        <v>4.5</v>
      </c>
      <c r="I91">
        <v>627171.9</v>
      </c>
      <c r="J91">
        <f t="shared" si="3"/>
        <v>744034.82522690005</v>
      </c>
      <c r="K91">
        <f t="shared" si="4"/>
        <v>-116862.92522690003</v>
      </c>
      <c r="L91">
        <f t="shared" si="5"/>
        <v>13656943292.588026</v>
      </c>
    </row>
    <row r="92" spans="1:12">
      <c r="A92">
        <v>82116.19</v>
      </c>
      <c r="B92">
        <v>5988</v>
      </c>
      <c r="C92">
        <v>0.04</v>
      </c>
      <c r="D92">
        <v>17</v>
      </c>
      <c r="E92">
        <v>91.8</v>
      </c>
      <c r="F92">
        <v>5.75</v>
      </c>
      <c r="G92">
        <v>0</v>
      </c>
      <c r="H92">
        <v>4.7</v>
      </c>
      <c r="I92">
        <v>739852.58</v>
      </c>
      <c r="J92">
        <f t="shared" si="3"/>
        <v>715564.33402589988</v>
      </c>
      <c r="K92">
        <f t="shared" si="4"/>
        <v>24288.245974100078</v>
      </c>
      <c r="L92">
        <f t="shared" si="5"/>
        <v>589918892.49838865</v>
      </c>
    </row>
    <row r="93" spans="1:12">
      <c r="A93">
        <v>31207.51</v>
      </c>
      <c r="B93">
        <v>3701</v>
      </c>
      <c r="C93">
        <v>4.2999999999999997E-2</v>
      </c>
      <c r="D93">
        <v>11</v>
      </c>
      <c r="E93">
        <v>84.7</v>
      </c>
      <c r="F93">
        <v>0.33</v>
      </c>
      <c r="G93">
        <v>0</v>
      </c>
      <c r="H93">
        <v>4.3</v>
      </c>
      <c r="I93">
        <v>586307.22</v>
      </c>
      <c r="J93">
        <f t="shared" si="3"/>
        <v>563041.5429311</v>
      </c>
      <c r="K93">
        <f t="shared" si="4"/>
        <v>23265.677068899968</v>
      </c>
      <c r="L93">
        <f t="shared" si="5"/>
        <v>541291729.47433782</v>
      </c>
    </row>
    <row r="94" spans="1:12">
      <c r="A94">
        <v>38966.589999999997</v>
      </c>
      <c r="B94">
        <v>4509</v>
      </c>
      <c r="C94">
        <v>0.19400000000000001</v>
      </c>
      <c r="D94">
        <v>14</v>
      </c>
      <c r="E94">
        <v>91.1</v>
      </c>
      <c r="F94">
        <v>2.92</v>
      </c>
      <c r="G94">
        <v>0</v>
      </c>
      <c r="H94">
        <v>4.5999999999999996</v>
      </c>
      <c r="I94">
        <v>585937.48</v>
      </c>
      <c r="J94">
        <f t="shared" si="3"/>
        <v>607891.15176989988</v>
      </c>
      <c r="K94">
        <f t="shared" si="4"/>
        <v>-21953.671769899898</v>
      </c>
      <c r="L94">
        <f t="shared" si="5"/>
        <v>481963704.18049973</v>
      </c>
    </row>
    <row r="95" spans="1:12">
      <c r="A95">
        <v>67439.3</v>
      </c>
      <c r="B95">
        <v>6477</v>
      </c>
      <c r="C95">
        <v>0</v>
      </c>
      <c r="D95">
        <v>16</v>
      </c>
      <c r="E95">
        <v>90.9</v>
      </c>
      <c r="F95">
        <v>1.64</v>
      </c>
      <c r="G95">
        <v>0</v>
      </c>
      <c r="H95">
        <v>4.5</v>
      </c>
      <c r="I95">
        <v>753473.55</v>
      </c>
      <c r="J95">
        <f t="shared" si="3"/>
        <v>718687.37347300013</v>
      </c>
      <c r="K95">
        <f t="shared" si="4"/>
        <v>34786.176526999916</v>
      </c>
      <c r="L95">
        <f t="shared" si="5"/>
        <v>1210078077.3676</v>
      </c>
    </row>
    <row r="96" spans="1:12">
      <c r="A96">
        <v>86421.88</v>
      </c>
      <c r="B96">
        <v>7970</v>
      </c>
      <c r="C96">
        <v>7.2999999999999995E-2</v>
      </c>
      <c r="D96">
        <v>17</v>
      </c>
      <c r="E96">
        <v>91.3</v>
      </c>
      <c r="F96">
        <v>0.8</v>
      </c>
      <c r="G96">
        <v>0</v>
      </c>
      <c r="H96">
        <v>5</v>
      </c>
      <c r="I96">
        <v>838250.32</v>
      </c>
      <c r="J96">
        <f t="shared" si="3"/>
        <v>789446.38814679987</v>
      </c>
      <c r="K96">
        <f t="shared" si="4"/>
        <v>48803.931853200076</v>
      </c>
      <c r="L96">
        <f t="shared" si="5"/>
        <v>2381823764.3317971</v>
      </c>
    </row>
    <row r="97" spans="1:12">
      <c r="A97">
        <v>9534.65</v>
      </c>
      <c r="B97">
        <v>6057</v>
      </c>
      <c r="C97">
        <v>7.3999999999999996E-2</v>
      </c>
      <c r="D97">
        <v>15</v>
      </c>
      <c r="E97">
        <v>94.1</v>
      </c>
      <c r="F97">
        <v>5.79</v>
      </c>
      <c r="G97">
        <v>0</v>
      </c>
      <c r="H97">
        <v>4.5</v>
      </c>
      <c r="I97">
        <v>607898.12</v>
      </c>
      <c r="J97">
        <f t="shared" si="3"/>
        <v>627486.57938650006</v>
      </c>
      <c r="K97">
        <f t="shared" si="4"/>
        <v>-19588.459386500064</v>
      </c>
      <c r="L97">
        <f t="shared" si="5"/>
        <v>383707741.13656247</v>
      </c>
    </row>
    <row r="98" spans="1:12">
      <c r="A98">
        <v>61132.07</v>
      </c>
      <c r="B98">
        <v>6394</v>
      </c>
      <c r="C98">
        <v>0.16300000000000001</v>
      </c>
      <c r="D98">
        <v>19</v>
      </c>
      <c r="E98">
        <v>91</v>
      </c>
      <c r="F98">
        <v>19.600000000000001</v>
      </c>
      <c r="G98">
        <v>0</v>
      </c>
      <c r="H98">
        <v>4.4000000000000004</v>
      </c>
      <c r="I98">
        <v>691113.62</v>
      </c>
      <c r="J98">
        <f t="shared" si="3"/>
        <v>653744.40951270005</v>
      </c>
      <c r="K98">
        <f t="shared" si="4"/>
        <v>37369.210487299948</v>
      </c>
      <c r="L98">
        <f t="shared" si="5"/>
        <v>1396457892.4441285</v>
      </c>
    </row>
    <row r="99" spans="1:12">
      <c r="A99">
        <v>78839.39</v>
      </c>
      <c r="B99">
        <v>5150</v>
      </c>
      <c r="C99">
        <v>0.17100000000000001</v>
      </c>
      <c r="D99">
        <v>13</v>
      </c>
      <c r="E99">
        <v>85.8</v>
      </c>
      <c r="F99">
        <v>7.57</v>
      </c>
      <c r="G99">
        <v>0</v>
      </c>
      <c r="H99">
        <v>4.3</v>
      </c>
      <c r="I99">
        <v>735509.4</v>
      </c>
      <c r="J99">
        <f t="shared" si="3"/>
        <v>639182.93717789999</v>
      </c>
      <c r="K99">
        <f t="shared" si="4"/>
        <v>96326.462822100031</v>
      </c>
      <c r="L99">
        <f t="shared" si="5"/>
        <v>9278787439.8174191</v>
      </c>
    </row>
    <row r="100" spans="1:12">
      <c r="A100">
        <v>38752.800000000003</v>
      </c>
      <c r="B100">
        <v>4712</v>
      </c>
      <c r="C100">
        <v>7.4999999999999997E-2</v>
      </c>
      <c r="D100">
        <v>15</v>
      </c>
      <c r="E100">
        <v>89.7</v>
      </c>
      <c r="F100">
        <v>4.5590450000000002</v>
      </c>
      <c r="G100">
        <v>0</v>
      </c>
      <c r="H100">
        <v>4.3</v>
      </c>
      <c r="I100">
        <v>605775.32999999996</v>
      </c>
      <c r="J100">
        <f t="shared" si="3"/>
        <v>612904.672349</v>
      </c>
      <c r="K100">
        <f t="shared" si="4"/>
        <v>-7129.3423490000423</v>
      </c>
      <c r="L100">
        <f t="shared" si="5"/>
        <v>50827522.329245441</v>
      </c>
    </row>
    <row r="101" spans="1:12">
      <c r="A101">
        <v>55101.1</v>
      </c>
      <c r="B101">
        <v>5281</v>
      </c>
      <c r="C101">
        <v>0.189</v>
      </c>
      <c r="D101">
        <v>11</v>
      </c>
      <c r="E101">
        <v>91</v>
      </c>
      <c r="F101">
        <v>2.7</v>
      </c>
      <c r="G101">
        <v>0</v>
      </c>
      <c r="H101">
        <v>4.4000000000000004</v>
      </c>
      <c r="I101">
        <v>675177.68</v>
      </c>
      <c r="J101">
        <f t="shared" si="3"/>
        <v>637885.16517099994</v>
      </c>
      <c r="K101">
        <f t="shared" si="4"/>
        <v>37292.514829000109</v>
      </c>
      <c r="L101">
        <f t="shared" si="5"/>
        <v>1390731662.271193</v>
      </c>
    </row>
    <row r="102" spans="1:12">
      <c r="A102">
        <v>53084.76</v>
      </c>
      <c r="B102">
        <v>3642</v>
      </c>
      <c r="C102">
        <v>0.15</v>
      </c>
      <c r="D102">
        <v>12</v>
      </c>
      <c r="E102">
        <v>91.4</v>
      </c>
      <c r="F102">
        <v>0.2</v>
      </c>
      <c r="G102">
        <v>0</v>
      </c>
      <c r="H102">
        <v>4.4000000000000004</v>
      </c>
      <c r="I102">
        <v>635181.35</v>
      </c>
      <c r="J102">
        <f t="shared" si="3"/>
        <v>604152.60030359996</v>
      </c>
      <c r="K102">
        <f t="shared" si="4"/>
        <v>31028.749696400017</v>
      </c>
      <c r="L102">
        <f t="shared" si="5"/>
        <v>962783307.72184408</v>
      </c>
    </row>
    <row r="103" spans="1:12">
      <c r="A103">
        <v>63101.59</v>
      </c>
      <c r="B103">
        <v>4373</v>
      </c>
      <c r="C103">
        <v>0.17299999999999999</v>
      </c>
      <c r="D103">
        <v>14</v>
      </c>
      <c r="E103">
        <v>90.4</v>
      </c>
      <c r="F103">
        <v>7.87</v>
      </c>
      <c r="G103">
        <v>0</v>
      </c>
      <c r="H103">
        <v>4.7</v>
      </c>
      <c r="I103">
        <v>586626.93999999994</v>
      </c>
      <c r="J103">
        <f t="shared" si="3"/>
        <v>618875.6721199</v>
      </c>
      <c r="K103">
        <f t="shared" si="4"/>
        <v>-32248.732119900058</v>
      </c>
      <c r="L103">
        <f t="shared" si="5"/>
        <v>1039980723.3410736</v>
      </c>
    </row>
    <row r="104" spans="1:12">
      <c r="A104">
        <v>90084.4</v>
      </c>
      <c r="B104">
        <v>6832</v>
      </c>
      <c r="C104">
        <v>0.185</v>
      </c>
      <c r="D104">
        <v>14</v>
      </c>
      <c r="E104">
        <v>80.5</v>
      </c>
      <c r="F104">
        <v>0.77</v>
      </c>
      <c r="G104">
        <v>1</v>
      </c>
      <c r="H104">
        <v>4.4000000000000004</v>
      </c>
      <c r="I104">
        <v>740102.64</v>
      </c>
      <c r="J104">
        <f t="shared" si="3"/>
        <v>719284.34248400002</v>
      </c>
      <c r="K104">
        <f t="shared" si="4"/>
        <v>20818.297515999991</v>
      </c>
      <c r="L104">
        <f t="shared" si="5"/>
        <v>433401511.4646914</v>
      </c>
    </row>
    <row r="105" spans="1:12">
      <c r="A105">
        <v>32266.639999999999</v>
      </c>
      <c r="B105">
        <v>2414</v>
      </c>
      <c r="C105">
        <v>0.08</v>
      </c>
      <c r="D105">
        <v>7</v>
      </c>
      <c r="E105">
        <v>92.1</v>
      </c>
      <c r="F105">
        <v>1.48</v>
      </c>
      <c r="G105">
        <v>0</v>
      </c>
      <c r="H105">
        <v>5</v>
      </c>
      <c r="I105">
        <v>625514.04</v>
      </c>
      <c r="J105">
        <f t="shared" si="3"/>
        <v>539540.96005040011</v>
      </c>
      <c r="K105">
        <f t="shared" si="4"/>
        <v>85973.079949599924</v>
      </c>
      <c r="L105">
        <f t="shared" si="5"/>
        <v>7391370476.0203009</v>
      </c>
    </row>
    <row r="106" spans="1:12">
      <c r="A106">
        <v>57919.07</v>
      </c>
      <c r="B106">
        <v>7374</v>
      </c>
      <c r="C106">
        <v>0.10299999999999999</v>
      </c>
      <c r="D106">
        <v>21</v>
      </c>
      <c r="E106">
        <v>82.3</v>
      </c>
      <c r="F106">
        <v>2.87</v>
      </c>
      <c r="G106">
        <v>0</v>
      </c>
      <c r="H106">
        <v>2.9</v>
      </c>
      <c r="I106">
        <v>727227.2</v>
      </c>
      <c r="J106">
        <f t="shared" si="3"/>
        <v>694425.18958269991</v>
      </c>
      <c r="K106">
        <f t="shared" si="4"/>
        <v>32802.010417300044</v>
      </c>
      <c r="L106">
        <f t="shared" si="5"/>
        <v>1075971887.4166605</v>
      </c>
    </row>
    <row r="107" spans="1:12">
      <c r="A107">
        <v>74679.350000000006</v>
      </c>
      <c r="B107">
        <v>8739</v>
      </c>
      <c r="C107">
        <v>5.6000000000000001E-2</v>
      </c>
      <c r="D107">
        <v>21</v>
      </c>
      <c r="E107">
        <v>91.8</v>
      </c>
      <c r="F107">
        <v>2.83</v>
      </c>
      <c r="G107">
        <v>0</v>
      </c>
      <c r="H107">
        <v>3</v>
      </c>
      <c r="I107">
        <v>783797.89</v>
      </c>
      <c r="J107">
        <f t="shared" si="3"/>
        <v>785268.94215350004</v>
      </c>
      <c r="K107">
        <f t="shared" si="4"/>
        <v>-1471.0521535000298</v>
      </c>
      <c r="L107">
        <f t="shared" si="5"/>
        <v>2163994.4383170754</v>
      </c>
    </row>
    <row r="108" spans="1:12">
      <c r="A108">
        <v>64294.23</v>
      </c>
      <c r="B108">
        <v>6992</v>
      </c>
      <c r="C108">
        <v>0.13300000000000001</v>
      </c>
      <c r="D108">
        <v>14</v>
      </c>
      <c r="E108">
        <v>94.1</v>
      </c>
      <c r="F108">
        <v>0.25</v>
      </c>
      <c r="G108">
        <v>0</v>
      </c>
      <c r="H108">
        <v>3</v>
      </c>
      <c r="I108">
        <v>795153.84</v>
      </c>
      <c r="J108">
        <f t="shared" si="3"/>
        <v>711480.07503029983</v>
      </c>
      <c r="K108">
        <f t="shared" si="4"/>
        <v>83673.764969700132</v>
      </c>
      <c r="L108">
        <f t="shared" si="5"/>
        <v>7001298944.2046165</v>
      </c>
    </row>
    <row r="109" spans="1:12">
      <c r="A109">
        <v>31042.03</v>
      </c>
      <c r="B109">
        <v>7107</v>
      </c>
      <c r="C109">
        <v>5.0999999999999997E-2</v>
      </c>
      <c r="D109">
        <v>15</v>
      </c>
      <c r="E109">
        <v>87</v>
      </c>
      <c r="F109">
        <v>13.33</v>
      </c>
      <c r="G109">
        <v>0</v>
      </c>
      <c r="H109">
        <v>3.2</v>
      </c>
      <c r="I109">
        <v>665594.93999999994</v>
      </c>
      <c r="J109">
        <f t="shared" si="3"/>
        <v>627314.76918829989</v>
      </c>
      <c r="K109">
        <f t="shared" si="4"/>
        <v>38280.170811700053</v>
      </c>
      <c r="L109">
        <f t="shared" si="5"/>
        <v>1465371477.3729327</v>
      </c>
    </row>
    <row r="110" spans="1:12">
      <c r="A110">
        <v>75265.02</v>
      </c>
      <c r="B110">
        <v>6975</v>
      </c>
      <c r="C110">
        <v>0.157</v>
      </c>
      <c r="D110">
        <v>20</v>
      </c>
      <c r="E110">
        <v>73.8</v>
      </c>
      <c r="F110">
        <v>6.35</v>
      </c>
      <c r="G110">
        <v>1</v>
      </c>
      <c r="H110">
        <v>3.8</v>
      </c>
      <c r="I110">
        <v>709478.39</v>
      </c>
      <c r="J110">
        <f t="shared" si="3"/>
        <v>683805.2003621998</v>
      </c>
      <c r="K110">
        <f t="shared" si="4"/>
        <v>25673.189637800213</v>
      </c>
      <c r="L110">
        <f t="shared" si="5"/>
        <v>659112666.17845225</v>
      </c>
    </row>
    <row r="111" spans="1:12">
      <c r="A111">
        <v>69411.7</v>
      </c>
      <c r="B111">
        <v>5493</v>
      </c>
      <c r="C111">
        <v>0.29199999999999998</v>
      </c>
      <c r="D111">
        <v>13</v>
      </c>
      <c r="E111">
        <v>86.5</v>
      </c>
      <c r="F111">
        <v>6.69</v>
      </c>
      <c r="G111">
        <v>0</v>
      </c>
      <c r="H111">
        <v>3.8</v>
      </c>
      <c r="I111">
        <v>664162.49</v>
      </c>
      <c r="J111">
        <f t="shared" si="3"/>
        <v>628255.28263699997</v>
      </c>
      <c r="K111">
        <f t="shared" si="4"/>
        <v>35907.207363000023</v>
      </c>
      <c r="L111">
        <f t="shared" si="5"/>
        <v>1289327540.609483</v>
      </c>
    </row>
    <row r="112" spans="1:12">
      <c r="A112">
        <v>51056.15</v>
      </c>
      <c r="B112">
        <v>5686</v>
      </c>
      <c r="C112">
        <v>8.8999999999999996E-2</v>
      </c>
      <c r="D112">
        <v>13</v>
      </c>
      <c r="E112">
        <v>89.9</v>
      </c>
      <c r="F112">
        <v>1.28</v>
      </c>
      <c r="G112">
        <v>0</v>
      </c>
      <c r="H112">
        <v>4.2</v>
      </c>
      <c r="I112">
        <v>633494.21</v>
      </c>
      <c r="J112">
        <f t="shared" si="3"/>
        <v>656479.32300149999</v>
      </c>
      <c r="K112">
        <f t="shared" si="4"/>
        <v>-22985.113001500024</v>
      </c>
      <c r="L112">
        <f t="shared" si="5"/>
        <v>528315419.69172543</v>
      </c>
    </row>
    <row r="113" spans="1:12">
      <c r="A113">
        <v>52758.01</v>
      </c>
      <c r="B113">
        <v>4063</v>
      </c>
      <c r="C113">
        <v>5.7000000000000002E-2</v>
      </c>
      <c r="D113">
        <v>12</v>
      </c>
      <c r="E113">
        <v>91.7</v>
      </c>
      <c r="F113">
        <v>0.92</v>
      </c>
      <c r="G113">
        <v>0</v>
      </c>
      <c r="H113">
        <v>3.5</v>
      </c>
      <c r="I113">
        <v>713611.16</v>
      </c>
      <c r="J113">
        <f t="shared" si="3"/>
        <v>611624.25123609998</v>
      </c>
      <c r="K113">
        <f t="shared" si="4"/>
        <v>101986.90876390005</v>
      </c>
      <c r="L113">
        <f t="shared" si="5"/>
        <v>10401329559.216072</v>
      </c>
    </row>
    <row r="114" spans="1:12">
      <c r="A114">
        <v>61426.04</v>
      </c>
      <c r="B114">
        <v>8966</v>
      </c>
      <c r="C114">
        <v>0.17299999999999999</v>
      </c>
      <c r="D114">
        <v>22</v>
      </c>
      <c r="E114">
        <v>76.400000000000006</v>
      </c>
      <c r="F114">
        <v>1.05</v>
      </c>
      <c r="G114">
        <v>0</v>
      </c>
      <c r="H114">
        <v>3.1</v>
      </c>
      <c r="I114">
        <v>778397.97</v>
      </c>
      <c r="J114">
        <f t="shared" si="3"/>
        <v>730679.86128439999</v>
      </c>
      <c r="K114">
        <f t="shared" si="4"/>
        <v>47718.108715599985</v>
      </c>
      <c r="L114">
        <f t="shared" si="5"/>
        <v>2277017899.3938193</v>
      </c>
    </row>
    <row r="115" spans="1:12">
      <c r="A115">
        <v>80176.34</v>
      </c>
      <c r="B115">
        <v>9489</v>
      </c>
      <c r="C115">
        <v>0.14199999999999999</v>
      </c>
      <c r="D115">
        <v>22</v>
      </c>
      <c r="E115">
        <v>94.3</v>
      </c>
      <c r="F115">
        <v>2.67</v>
      </c>
      <c r="G115">
        <v>0</v>
      </c>
      <c r="H115">
        <v>3.5</v>
      </c>
      <c r="I115">
        <v>873380.02</v>
      </c>
      <c r="J115">
        <f t="shared" si="3"/>
        <v>822715.74346739997</v>
      </c>
      <c r="K115">
        <f t="shared" si="4"/>
        <v>50664.276532600052</v>
      </c>
      <c r="L115">
        <f t="shared" si="5"/>
        <v>2566868916.5717683</v>
      </c>
    </row>
    <row r="116" spans="1:12">
      <c r="A116">
        <v>33605.18</v>
      </c>
      <c r="B116">
        <v>9225</v>
      </c>
      <c r="C116">
        <v>0.159</v>
      </c>
      <c r="D116">
        <v>23</v>
      </c>
      <c r="E116">
        <v>88.4</v>
      </c>
      <c r="F116">
        <v>5.91</v>
      </c>
      <c r="G116">
        <v>0</v>
      </c>
      <c r="H116">
        <v>2.8</v>
      </c>
      <c r="I116">
        <v>697287.9</v>
      </c>
      <c r="J116">
        <f t="shared" si="3"/>
        <v>727699.31945980003</v>
      </c>
      <c r="K116">
        <f t="shared" si="4"/>
        <v>-30411.419459800003</v>
      </c>
      <c r="L116">
        <f t="shared" si="5"/>
        <v>924854433.55990231</v>
      </c>
    </row>
    <row r="117" spans="1:12">
      <c r="A117">
        <v>25990.54</v>
      </c>
      <c r="B117">
        <v>9249</v>
      </c>
      <c r="C117">
        <v>0.13900000000000001</v>
      </c>
      <c r="D117">
        <v>23</v>
      </c>
      <c r="E117">
        <v>92.5</v>
      </c>
      <c r="F117">
        <v>6.37</v>
      </c>
      <c r="G117">
        <v>0</v>
      </c>
      <c r="H117">
        <v>3.3</v>
      </c>
      <c r="I117">
        <v>718074.79</v>
      </c>
      <c r="J117">
        <f t="shared" si="3"/>
        <v>736925.66912939993</v>
      </c>
      <c r="K117">
        <f t="shared" si="4"/>
        <v>-18850.879129399895</v>
      </c>
      <c r="L117">
        <f t="shared" si="5"/>
        <v>355355643.95124453</v>
      </c>
    </row>
    <row r="118" spans="1:12">
      <c r="A118">
        <v>43685.14</v>
      </c>
      <c r="B118">
        <v>7821</v>
      </c>
      <c r="C118">
        <v>0.19</v>
      </c>
      <c r="D118">
        <v>17</v>
      </c>
      <c r="E118">
        <v>91</v>
      </c>
      <c r="F118">
        <v>2.4900000000000002</v>
      </c>
      <c r="G118">
        <v>1</v>
      </c>
      <c r="H118">
        <v>4.7</v>
      </c>
      <c r="I118">
        <v>714942.43</v>
      </c>
      <c r="J118">
        <f t="shared" si="3"/>
        <v>730263.19883539993</v>
      </c>
      <c r="K118">
        <f t="shared" si="4"/>
        <v>-15320.768835399882</v>
      </c>
      <c r="L118">
        <f t="shared" si="5"/>
        <v>234725957.70776024</v>
      </c>
    </row>
    <row r="119" spans="1:12">
      <c r="A119">
        <v>57360.01</v>
      </c>
      <c r="B119">
        <v>8434</v>
      </c>
      <c r="C119">
        <v>0.151</v>
      </c>
      <c r="D119">
        <v>19</v>
      </c>
      <c r="E119">
        <v>84.1</v>
      </c>
      <c r="F119">
        <v>1.56</v>
      </c>
      <c r="G119">
        <v>0</v>
      </c>
      <c r="H119">
        <v>4.7</v>
      </c>
      <c r="I119">
        <v>820519.04</v>
      </c>
      <c r="J119">
        <f t="shared" si="3"/>
        <v>741610.76245609985</v>
      </c>
      <c r="K119">
        <f t="shared" si="4"/>
        <v>78908.277543900185</v>
      </c>
      <c r="L119">
        <f t="shared" si="5"/>
        <v>6226516264.9451818</v>
      </c>
    </row>
    <row r="120" spans="1:12">
      <c r="A120">
        <v>42415.47</v>
      </c>
      <c r="B120">
        <v>8512</v>
      </c>
      <c r="C120">
        <v>0.13300000000000001</v>
      </c>
      <c r="D120">
        <v>18</v>
      </c>
      <c r="E120">
        <v>96.8</v>
      </c>
      <c r="F120">
        <v>14.95</v>
      </c>
      <c r="G120">
        <v>0</v>
      </c>
      <c r="H120">
        <v>4.5999999999999996</v>
      </c>
      <c r="I120">
        <v>684217.32</v>
      </c>
      <c r="J120">
        <f t="shared" si="3"/>
        <v>722500.36938669998</v>
      </c>
      <c r="K120">
        <f t="shared" si="4"/>
        <v>-38283.049386700033</v>
      </c>
      <c r="L120">
        <f t="shared" si="5"/>
        <v>1465591870.3445139</v>
      </c>
    </row>
    <row r="121" spans="1:12">
      <c r="A121">
        <v>54968.98</v>
      </c>
      <c r="B121">
        <v>7816</v>
      </c>
      <c r="C121">
        <v>0.23200000000000001</v>
      </c>
      <c r="D121">
        <v>19</v>
      </c>
      <c r="E121">
        <v>95.7</v>
      </c>
      <c r="F121">
        <v>7.85</v>
      </c>
      <c r="G121">
        <v>0</v>
      </c>
      <c r="H121">
        <v>4.7</v>
      </c>
      <c r="I121">
        <v>735480.19</v>
      </c>
      <c r="J121">
        <f t="shared" si="3"/>
        <v>732216.2973778001</v>
      </c>
      <c r="K121">
        <f t="shared" si="4"/>
        <v>3263.8926221998408</v>
      </c>
      <c r="L121">
        <f t="shared" si="5"/>
        <v>10652995.049250552</v>
      </c>
    </row>
    <row r="122" spans="1:12">
      <c r="A122">
        <v>43896.13</v>
      </c>
      <c r="B122">
        <v>3853</v>
      </c>
      <c r="C122">
        <v>8.7999999999999995E-2</v>
      </c>
      <c r="D122">
        <v>13</v>
      </c>
      <c r="E122">
        <v>83</v>
      </c>
      <c r="F122">
        <v>6.8</v>
      </c>
      <c r="G122">
        <v>0</v>
      </c>
      <c r="H122">
        <v>4.4000000000000004</v>
      </c>
      <c r="I122">
        <v>509484.81</v>
      </c>
      <c r="J122">
        <f t="shared" si="3"/>
        <v>562505.2186893</v>
      </c>
      <c r="K122">
        <f t="shared" si="4"/>
        <v>-53020.408689300006</v>
      </c>
      <c r="L122">
        <f t="shared" si="5"/>
        <v>2811163737.5803995</v>
      </c>
    </row>
    <row r="123" spans="1:12">
      <c r="A123">
        <v>83044.17</v>
      </c>
      <c r="B123">
        <v>3694</v>
      </c>
      <c r="C123">
        <v>0</v>
      </c>
      <c r="D123">
        <v>14</v>
      </c>
      <c r="E123">
        <v>89.4</v>
      </c>
      <c r="F123">
        <v>2.2000000000000002</v>
      </c>
      <c r="G123">
        <v>0</v>
      </c>
      <c r="H123">
        <v>3.7</v>
      </c>
      <c r="I123">
        <v>654317.09</v>
      </c>
      <c r="J123">
        <f t="shared" si="3"/>
        <v>639042.06239370012</v>
      </c>
      <c r="K123">
        <f t="shared" si="4"/>
        <v>15275.027606299846</v>
      </c>
      <c r="L123">
        <f t="shared" si="5"/>
        <v>233326468.37322238</v>
      </c>
    </row>
    <row r="124" spans="1:12">
      <c r="A124">
        <v>48396.13</v>
      </c>
      <c r="B124">
        <v>4423</v>
      </c>
      <c r="C124">
        <v>6.9000000000000006E-2</v>
      </c>
      <c r="D124">
        <v>15</v>
      </c>
      <c r="E124">
        <v>85.7</v>
      </c>
      <c r="F124">
        <v>1.88</v>
      </c>
      <c r="G124">
        <v>0</v>
      </c>
      <c r="H124">
        <v>3.9</v>
      </c>
      <c r="I124">
        <v>557487.26</v>
      </c>
      <c r="J124">
        <f t="shared" si="3"/>
        <v>608331.64668929996</v>
      </c>
      <c r="K124">
        <f t="shared" si="4"/>
        <v>-50844.38668929995</v>
      </c>
      <c r="L124">
        <f t="shared" si="5"/>
        <v>2585151657.8110619</v>
      </c>
    </row>
    <row r="125" spans="1:12">
      <c r="A125">
        <v>19063.48</v>
      </c>
      <c r="B125">
        <v>1906</v>
      </c>
      <c r="C125">
        <v>0.216</v>
      </c>
      <c r="D125">
        <v>10</v>
      </c>
      <c r="E125">
        <v>97.8</v>
      </c>
      <c r="F125">
        <v>15.79</v>
      </c>
      <c r="G125">
        <v>0</v>
      </c>
      <c r="H125">
        <v>4.4000000000000004</v>
      </c>
      <c r="I125">
        <v>441275.42</v>
      </c>
      <c r="J125">
        <f t="shared" si="3"/>
        <v>478601.74452279997</v>
      </c>
      <c r="K125">
        <f t="shared" si="4"/>
        <v>-37326.324522799987</v>
      </c>
      <c r="L125">
        <f t="shared" si="5"/>
        <v>1393254502.3813796</v>
      </c>
    </row>
    <row r="126" spans="1:12">
      <c r="A126">
        <v>61541.21</v>
      </c>
      <c r="B126">
        <v>10396</v>
      </c>
      <c r="C126">
        <v>0.123</v>
      </c>
      <c r="D126">
        <v>25</v>
      </c>
      <c r="E126">
        <v>88.1</v>
      </c>
      <c r="F126">
        <v>2.34</v>
      </c>
      <c r="G126">
        <v>1</v>
      </c>
      <c r="H126">
        <v>4.8</v>
      </c>
      <c r="I126">
        <v>914544.17</v>
      </c>
      <c r="J126">
        <f t="shared" si="3"/>
        <v>845479.22098810005</v>
      </c>
      <c r="K126">
        <f t="shared" si="4"/>
        <v>69064.949011899997</v>
      </c>
      <c r="L126">
        <f t="shared" si="5"/>
        <v>4769967182.016346</v>
      </c>
    </row>
    <row r="127" spans="1:12">
      <c r="A127">
        <v>44747</v>
      </c>
      <c r="B127">
        <v>11076</v>
      </c>
      <c r="C127">
        <v>0.17599999999999999</v>
      </c>
      <c r="D127">
        <v>27</v>
      </c>
      <c r="E127">
        <v>98.3</v>
      </c>
      <c r="F127">
        <v>0.54</v>
      </c>
      <c r="G127">
        <v>0</v>
      </c>
      <c r="H127">
        <v>4.4000000000000004</v>
      </c>
      <c r="I127">
        <v>842439.67</v>
      </c>
      <c r="J127">
        <f t="shared" si="3"/>
        <v>865393.89766999998</v>
      </c>
      <c r="K127">
        <f t="shared" si="4"/>
        <v>-22954.227669999935</v>
      </c>
      <c r="L127">
        <f t="shared" si="5"/>
        <v>526896567.92619061</v>
      </c>
    </row>
    <row r="128" spans="1:12">
      <c r="A128">
        <v>56517.9</v>
      </c>
      <c r="B128">
        <v>9574</v>
      </c>
      <c r="C128">
        <v>0.20399999999999999</v>
      </c>
      <c r="D128">
        <v>20</v>
      </c>
      <c r="E128">
        <v>88.2</v>
      </c>
      <c r="F128">
        <v>5.37</v>
      </c>
      <c r="G128">
        <v>1</v>
      </c>
      <c r="H128">
        <v>4.9000000000000004</v>
      </c>
      <c r="I128">
        <v>842157.92</v>
      </c>
      <c r="J128">
        <f t="shared" si="3"/>
        <v>787948.61341899994</v>
      </c>
      <c r="K128">
        <f t="shared" si="4"/>
        <v>54209.306581000099</v>
      </c>
      <c r="L128">
        <f t="shared" si="5"/>
        <v>2938648919.9928608</v>
      </c>
    </row>
    <row r="129" spans="1:12">
      <c r="A129">
        <v>37828.5</v>
      </c>
      <c r="B129">
        <v>8221</v>
      </c>
      <c r="C129">
        <v>9.6000000000000002E-2</v>
      </c>
      <c r="D129">
        <v>19</v>
      </c>
      <c r="E129">
        <v>81.5</v>
      </c>
      <c r="F129">
        <v>3.19</v>
      </c>
      <c r="G129">
        <v>0</v>
      </c>
      <c r="H129">
        <v>4.8</v>
      </c>
      <c r="I129">
        <v>697155.3</v>
      </c>
      <c r="J129">
        <f t="shared" si="3"/>
        <v>705045.97088499996</v>
      </c>
      <c r="K129">
        <f t="shared" si="4"/>
        <v>-7890.6708849999122</v>
      </c>
      <c r="L129">
        <f t="shared" si="5"/>
        <v>62262687.0153853</v>
      </c>
    </row>
    <row r="130" spans="1:12">
      <c r="A130">
        <v>66250.53</v>
      </c>
      <c r="B130">
        <v>10618</v>
      </c>
      <c r="C130">
        <v>0.14199999999999999</v>
      </c>
      <c r="D130">
        <v>27</v>
      </c>
      <c r="E130">
        <v>88.3</v>
      </c>
      <c r="F130">
        <v>1.1000000000000001</v>
      </c>
      <c r="G130">
        <v>1</v>
      </c>
      <c r="H130">
        <v>4.4000000000000004</v>
      </c>
      <c r="I130">
        <v>849018.3</v>
      </c>
      <c r="J130">
        <f t="shared" si="3"/>
        <v>862053.48987330007</v>
      </c>
      <c r="K130">
        <f t="shared" si="4"/>
        <v>-13035.189873300027</v>
      </c>
      <c r="L130">
        <f t="shared" si="5"/>
        <v>169916175.03298357</v>
      </c>
    </row>
    <row r="131" spans="1:12">
      <c r="A131">
        <v>68410.929999999993</v>
      </c>
      <c r="B131">
        <v>10596</v>
      </c>
      <c r="C131">
        <v>0.20699999999999999</v>
      </c>
      <c r="D131">
        <v>25</v>
      </c>
      <c r="E131">
        <v>81.2</v>
      </c>
      <c r="F131">
        <v>0.21</v>
      </c>
      <c r="G131">
        <v>0</v>
      </c>
      <c r="H131">
        <v>4</v>
      </c>
      <c r="I131">
        <v>801830.35</v>
      </c>
      <c r="J131">
        <f t="shared" ref="J131:J194" si="6">95006.4+(1.18561*A131)+(27.858*B131)+(-72102*C131)+(3084.08*D131)+(2989.33*E131)+(-2890.2*F131)+(12984.1*G131)+(10433.9*H131)</f>
        <v>817337.59071729996</v>
      </c>
      <c r="K131">
        <f t="shared" ref="K131:K194" si="7">I131-J131</f>
        <v>-15507.240717299981</v>
      </c>
      <c r="L131">
        <f t="shared" ref="L131:L194" si="8">K131^2</f>
        <v>240474514.66428643</v>
      </c>
    </row>
    <row r="132" spans="1:12">
      <c r="A132">
        <v>50735.63</v>
      </c>
      <c r="B132">
        <v>9619</v>
      </c>
      <c r="C132">
        <v>0.14399999999999999</v>
      </c>
      <c r="D132">
        <v>19</v>
      </c>
      <c r="E132">
        <v>93.8</v>
      </c>
      <c r="F132">
        <v>5.12</v>
      </c>
      <c r="G132">
        <v>1</v>
      </c>
      <c r="H132">
        <v>4.5</v>
      </c>
      <c r="I132">
        <v>725235.28</v>
      </c>
      <c r="J132">
        <f t="shared" si="6"/>
        <v>796877.98428430001</v>
      </c>
      <c r="K132">
        <f t="shared" si="7"/>
        <v>-71642.70428429998</v>
      </c>
      <c r="L132">
        <f t="shared" si="8"/>
        <v>5132677077.167655</v>
      </c>
    </row>
    <row r="133" spans="1:12">
      <c r="A133">
        <v>66455.8</v>
      </c>
      <c r="B133">
        <v>10836</v>
      </c>
      <c r="C133">
        <v>8.8999999999999996E-2</v>
      </c>
      <c r="D133">
        <v>25</v>
      </c>
      <c r="E133">
        <v>85</v>
      </c>
      <c r="F133">
        <v>9.77</v>
      </c>
      <c r="G133">
        <v>0</v>
      </c>
      <c r="H133">
        <v>4.5</v>
      </c>
      <c r="I133">
        <v>811452.72</v>
      </c>
      <c r="J133">
        <f t="shared" si="6"/>
        <v>819159.61703800014</v>
      </c>
      <c r="K133">
        <f t="shared" si="7"/>
        <v>-7706.8970380001701</v>
      </c>
      <c r="L133">
        <f t="shared" si="8"/>
        <v>59396261.954335794</v>
      </c>
    </row>
    <row r="134" spans="1:12">
      <c r="A134">
        <v>70276.28</v>
      </c>
      <c r="B134">
        <v>3043</v>
      </c>
      <c r="C134">
        <v>7.9000000000000001E-2</v>
      </c>
      <c r="D134">
        <v>9</v>
      </c>
      <c r="E134">
        <v>87.9</v>
      </c>
      <c r="F134">
        <v>3.77</v>
      </c>
      <c r="G134">
        <v>0</v>
      </c>
      <c r="H134">
        <v>4.4000000000000004</v>
      </c>
      <c r="I134">
        <v>527300.13</v>
      </c>
      <c r="J134">
        <f t="shared" si="6"/>
        <v>582934.42933080008</v>
      </c>
      <c r="K134">
        <f t="shared" si="7"/>
        <v>-55634.299330800073</v>
      </c>
      <c r="L134">
        <f t="shared" si="8"/>
        <v>3095175262.0290613</v>
      </c>
    </row>
    <row r="135" spans="1:12">
      <c r="A135">
        <v>22071.64</v>
      </c>
      <c r="B135">
        <v>1814</v>
      </c>
      <c r="C135">
        <v>0.19600000000000001</v>
      </c>
      <c r="D135">
        <v>8</v>
      </c>
      <c r="E135">
        <v>81.099999999999994</v>
      </c>
      <c r="F135">
        <v>0.78</v>
      </c>
      <c r="G135">
        <v>0</v>
      </c>
      <c r="H135">
        <f>3.924</f>
        <v>3.9239999999999999</v>
      </c>
      <c r="I135">
        <v>400831.65</v>
      </c>
      <c r="J135">
        <f t="shared" si="6"/>
        <v>463372.74770039989</v>
      </c>
      <c r="K135">
        <f t="shared" si="7"/>
        <v>-62541.097700399871</v>
      </c>
      <c r="L135">
        <f t="shared" si="8"/>
        <v>3911388901.570962</v>
      </c>
    </row>
    <row r="136" spans="1:12">
      <c r="A136">
        <v>52285.45</v>
      </c>
      <c r="B136">
        <v>3618</v>
      </c>
      <c r="C136">
        <v>8.5999999999999993E-2</v>
      </c>
      <c r="D136">
        <v>11</v>
      </c>
      <c r="E136">
        <v>95.6</v>
      </c>
      <c r="F136">
        <v>5.17</v>
      </c>
      <c r="G136">
        <v>1</v>
      </c>
      <c r="H136">
        <v>4.4000000000000004</v>
      </c>
      <c r="I136">
        <v>593247.25</v>
      </c>
      <c r="J136">
        <f t="shared" si="6"/>
        <v>615241.77837449987</v>
      </c>
      <c r="K136">
        <f t="shared" si="7"/>
        <v>-21994.528374499874</v>
      </c>
      <c r="L136">
        <f t="shared" si="8"/>
        <v>483759278.4166801</v>
      </c>
    </row>
    <row r="137" spans="1:12">
      <c r="A137">
        <v>70366.759999999995</v>
      </c>
      <c r="B137">
        <v>1963</v>
      </c>
      <c r="C137">
        <v>0.182</v>
      </c>
      <c r="D137">
        <v>8</v>
      </c>
      <c r="E137">
        <v>89.8</v>
      </c>
      <c r="F137">
        <v>3.2</v>
      </c>
      <c r="G137">
        <v>0</v>
      </c>
      <c r="H137">
        <v>4.5999999999999996</v>
      </c>
      <c r="I137">
        <v>529075.94999999995</v>
      </c>
      <c r="J137">
        <f t="shared" si="6"/>
        <v>551858.39832359995</v>
      </c>
      <c r="K137">
        <f t="shared" si="7"/>
        <v>-22782.448323599994</v>
      </c>
      <c r="L137">
        <f t="shared" si="8"/>
        <v>519039951.61750418</v>
      </c>
    </row>
    <row r="138" spans="1:12">
      <c r="A138">
        <v>71320.66</v>
      </c>
      <c r="B138">
        <v>7888</v>
      </c>
      <c r="C138">
        <v>4.8000000000000001E-2</v>
      </c>
      <c r="D138">
        <v>20</v>
      </c>
      <c r="E138">
        <v>78.099999999999994</v>
      </c>
      <c r="F138">
        <v>3.4</v>
      </c>
      <c r="G138">
        <v>0</v>
      </c>
      <c r="H138">
        <f>3.924</f>
        <v>3.9239999999999999</v>
      </c>
      <c r="I138">
        <v>633638.03</v>
      </c>
      <c r="J138">
        <f t="shared" si="6"/>
        <v>722112.11230259994</v>
      </c>
      <c r="K138">
        <f t="shared" si="7"/>
        <v>-88474.082302599913</v>
      </c>
      <c r="L138">
        <f t="shared" si="8"/>
        <v>7827663239.2872229</v>
      </c>
    </row>
    <row r="139" spans="1:12">
      <c r="A139">
        <v>75109.67</v>
      </c>
      <c r="B139">
        <v>6244</v>
      </c>
      <c r="C139">
        <v>7.9000000000000001E-2</v>
      </c>
      <c r="D139">
        <v>15</v>
      </c>
      <c r="E139">
        <v>96.3</v>
      </c>
      <c r="F139">
        <v>7.38</v>
      </c>
      <c r="G139">
        <v>0</v>
      </c>
      <c r="H139">
        <v>3.7</v>
      </c>
      <c r="I139">
        <v>743348.84</v>
      </c>
      <c r="J139">
        <f t="shared" si="6"/>
        <v>703715.90284870006</v>
      </c>
      <c r="K139">
        <f t="shared" si="7"/>
        <v>39632.937151299906</v>
      </c>
      <c r="L139">
        <f t="shared" si="8"/>
        <v>1570769707.2388883</v>
      </c>
    </row>
    <row r="140" spans="1:12">
      <c r="A140">
        <v>69779</v>
      </c>
      <c r="B140">
        <v>6544</v>
      </c>
      <c r="C140">
        <v>0.152</v>
      </c>
      <c r="D140">
        <v>18</v>
      </c>
      <c r="E140">
        <v>90.2</v>
      </c>
      <c r="F140">
        <v>0.85</v>
      </c>
      <c r="G140">
        <v>1</v>
      </c>
      <c r="H140">
        <v>3.3</v>
      </c>
      <c r="I140">
        <v>758827.64</v>
      </c>
      <c r="J140">
        <f t="shared" si="6"/>
        <v>719190.6341899999</v>
      </c>
      <c r="K140">
        <f t="shared" si="7"/>
        <v>39637.005810000119</v>
      </c>
      <c r="L140">
        <f t="shared" si="8"/>
        <v>1571092229.5819831</v>
      </c>
    </row>
    <row r="141" spans="1:12">
      <c r="A141">
        <v>44211.95</v>
      </c>
      <c r="B141">
        <v>5465</v>
      </c>
      <c r="C141">
        <v>0.187</v>
      </c>
      <c r="D141">
        <v>12</v>
      </c>
      <c r="E141">
        <v>90</v>
      </c>
      <c r="F141">
        <v>2.89</v>
      </c>
      <c r="G141">
        <v>0</v>
      </c>
      <c r="H141">
        <v>3.6</v>
      </c>
      <c r="I141">
        <v>646559.71</v>
      </c>
      <c r="J141">
        <f t="shared" si="6"/>
        <v>621443.44803950004</v>
      </c>
      <c r="K141">
        <f t="shared" si="7"/>
        <v>25116.26196049992</v>
      </c>
      <c r="L141">
        <f t="shared" si="8"/>
        <v>630826614.86845529</v>
      </c>
    </row>
    <row r="142" spans="1:12">
      <c r="A142">
        <v>51430.31</v>
      </c>
      <c r="B142">
        <v>6427</v>
      </c>
      <c r="C142">
        <v>0.23400000000000001</v>
      </c>
      <c r="D142">
        <v>14</v>
      </c>
      <c r="E142">
        <v>88.8</v>
      </c>
      <c r="F142">
        <v>0.77</v>
      </c>
      <c r="G142">
        <v>0</v>
      </c>
      <c r="H142">
        <v>4.0999999999999996</v>
      </c>
      <c r="I142">
        <v>715890.53</v>
      </c>
      <c r="J142">
        <f t="shared" si="6"/>
        <v>667337.34783909994</v>
      </c>
      <c r="K142">
        <f t="shared" si="7"/>
        <v>48553.182160900091</v>
      </c>
      <c r="L142">
        <f t="shared" si="8"/>
        <v>2357411497.9495468</v>
      </c>
    </row>
    <row r="143" spans="1:12">
      <c r="A143">
        <v>45706.49</v>
      </c>
      <c r="B143">
        <v>6704</v>
      </c>
      <c r="C143">
        <v>3.7999999999999999E-2</v>
      </c>
      <c r="D143">
        <v>15</v>
      </c>
      <c r="E143">
        <v>94.2</v>
      </c>
      <c r="F143">
        <v>2.92</v>
      </c>
      <c r="G143">
        <v>0</v>
      </c>
      <c r="H143">
        <v>4.2</v>
      </c>
      <c r="I143">
        <v>715097.57</v>
      </c>
      <c r="J143">
        <f t="shared" si="6"/>
        <v>696455.70960890013</v>
      </c>
      <c r="K143">
        <f t="shared" si="7"/>
        <v>18641.860391099821</v>
      </c>
      <c r="L143">
        <f t="shared" si="8"/>
        <v>347518958.84125638</v>
      </c>
    </row>
    <row r="144" spans="1:12">
      <c r="A144">
        <v>44034.6</v>
      </c>
      <c r="B144">
        <v>5645</v>
      </c>
      <c r="C144">
        <v>6.9000000000000006E-2</v>
      </c>
      <c r="D144">
        <v>18</v>
      </c>
      <c r="E144">
        <v>88.5</v>
      </c>
      <c r="F144">
        <v>3.07</v>
      </c>
      <c r="G144">
        <v>0</v>
      </c>
      <c r="H144">
        <v>3.8</v>
      </c>
      <c r="I144">
        <v>682639.28</v>
      </c>
      <c r="J144">
        <f t="shared" si="6"/>
        <v>650342.68510599993</v>
      </c>
      <c r="K144">
        <f t="shared" si="7"/>
        <v>32296.594894000096</v>
      </c>
      <c r="L144">
        <f t="shared" si="8"/>
        <v>1043070041.747153</v>
      </c>
    </row>
    <row r="145" spans="1:12">
      <c r="A145">
        <v>50198.12</v>
      </c>
      <c r="B145">
        <v>6089</v>
      </c>
      <c r="C145">
        <v>0.182</v>
      </c>
      <c r="D145">
        <v>19</v>
      </c>
      <c r="E145">
        <v>94</v>
      </c>
      <c r="F145">
        <v>9.6999999999999993</v>
      </c>
      <c r="G145">
        <v>0</v>
      </c>
      <c r="H145">
        <v>3.9</v>
      </c>
      <c r="I145">
        <v>695098.51</v>
      </c>
      <c r="J145">
        <f t="shared" si="6"/>
        <v>663278.40105320001</v>
      </c>
      <c r="K145">
        <f t="shared" si="7"/>
        <v>31820.108946799999</v>
      </c>
      <c r="L145">
        <f t="shared" si="8"/>
        <v>1012519333.3862213</v>
      </c>
    </row>
    <row r="146" spans="1:12">
      <c r="A146">
        <v>70488.2</v>
      </c>
      <c r="B146">
        <v>4312</v>
      </c>
      <c r="C146">
        <v>0.16900000000000001</v>
      </c>
      <c r="D146">
        <v>12</v>
      </c>
      <c r="E146">
        <v>90.2</v>
      </c>
      <c r="F146">
        <v>3.71</v>
      </c>
      <c r="G146">
        <v>0</v>
      </c>
      <c r="H146">
        <v>3.2</v>
      </c>
      <c r="I146">
        <v>577732.56999999995</v>
      </c>
      <c r="J146">
        <f t="shared" si="6"/>
        <v>615828.73680199997</v>
      </c>
      <c r="K146">
        <f t="shared" si="7"/>
        <v>-38096.166802000022</v>
      </c>
      <c r="L146">
        <f t="shared" si="8"/>
        <v>1451317925.0058086</v>
      </c>
    </row>
    <row r="147" spans="1:12">
      <c r="A147">
        <v>50909.27</v>
      </c>
      <c r="B147">
        <v>3152</v>
      </c>
      <c r="C147">
        <v>0.06</v>
      </c>
      <c r="D147">
        <v>13</v>
      </c>
      <c r="E147">
        <v>93.7</v>
      </c>
      <c r="F147">
        <v>10.79</v>
      </c>
      <c r="G147">
        <v>0</v>
      </c>
      <c r="H147">
        <v>3.5</v>
      </c>
      <c r="I147">
        <v>537058.32999999996</v>
      </c>
      <c r="J147">
        <f t="shared" si="6"/>
        <v>564373.88860469998</v>
      </c>
      <c r="K147">
        <f t="shared" si="7"/>
        <v>-27315.558604700025</v>
      </c>
      <c r="L147">
        <f t="shared" si="8"/>
        <v>746139741.8868016</v>
      </c>
    </row>
    <row r="148" spans="1:12">
      <c r="A148">
        <v>53351.7</v>
      </c>
      <c r="B148">
        <v>4259</v>
      </c>
      <c r="C148">
        <v>0.156</v>
      </c>
      <c r="D148">
        <v>15</v>
      </c>
      <c r="E148">
        <v>93.7</v>
      </c>
      <c r="F148">
        <v>6.03</v>
      </c>
      <c r="G148">
        <v>0</v>
      </c>
      <c r="H148">
        <v>3.4</v>
      </c>
      <c r="I148">
        <v>601568.87</v>
      </c>
      <c r="J148">
        <f t="shared" si="6"/>
        <v>610068.79403700004</v>
      </c>
      <c r="K148">
        <f t="shared" si="7"/>
        <v>-8499.924037000048</v>
      </c>
      <c r="L148">
        <f t="shared" si="8"/>
        <v>72248708.634771198</v>
      </c>
    </row>
    <row r="149" spans="1:12">
      <c r="A149">
        <v>60322.400000000001</v>
      </c>
      <c r="B149">
        <v>3350</v>
      </c>
      <c r="C149">
        <v>0.108</v>
      </c>
      <c r="D149">
        <v>12</v>
      </c>
      <c r="E149">
        <v>89.4</v>
      </c>
      <c r="F149">
        <v>4.92</v>
      </c>
      <c r="G149">
        <v>0</v>
      </c>
      <c r="H149">
        <v>3.4</v>
      </c>
      <c r="I149">
        <v>570964.84</v>
      </c>
      <c r="J149">
        <f t="shared" si="6"/>
        <v>577573.06266400008</v>
      </c>
      <c r="K149">
        <f t="shared" si="7"/>
        <v>-6608.2226640001172</v>
      </c>
      <c r="L149">
        <f t="shared" si="8"/>
        <v>43668606.777004808</v>
      </c>
    </row>
    <row r="150" spans="1:12">
      <c r="A150">
        <v>51575.68</v>
      </c>
      <c r="B150">
        <v>5329</v>
      </c>
      <c r="C150">
        <v>4.7E-2</v>
      </c>
      <c r="D150">
        <v>17</v>
      </c>
      <c r="E150">
        <v>88.1</v>
      </c>
      <c r="F150">
        <v>19.78</v>
      </c>
      <c r="G150">
        <v>0</v>
      </c>
      <c r="H150">
        <v>3.8</v>
      </c>
      <c r="I150">
        <v>614024.91</v>
      </c>
      <c r="J150">
        <f t="shared" si="6"/>
        <v>599491.52696479997</v>
      </c>
      <c r="K150">
        <f t="shared" si="7"/>
        <v>14533.383035200066</v>
      </c>
      <c r="L150">
        <f t="shared" si="8"/>
        <v>211219222.44784108</v>
      </c>
    </row>
    <row r="151" spans="1:12">
      <c r="A151">
        <v>43319.94</v>
      </c>
      <c r="B151">
        <v>6551</v>
      </c>
      <c r="C151">
        <v>4.3999999999999997E-2</v>
      </c>
      <c r="D151">
        <v>13</v>
      </c>
      <c r="E151">
        <v>99</v>
      </c>
      <c r="F151">
        <v>5.45</v>
      </c>
      <c r="G151">
        <v>0</v>
      </c>
      <c r="H151">
        <v>4.0999999999999996</v>
      </c>
      <c r="I151">
        <v>712868.35</v>
      </c>
      <c r="J151">
        <f t="shared" si="6"/>
        <v>688756.33406339993</v>
      </c>
      <c r="K151">
        <f t="shared" si="7"/>
        <v>24112.015936600044</v>
      </c>
      <c r="L151">
        <f t="shared" si="8"/>
        <v>581389312.52685452</v>
      </c>
    </row>
    <row r="152" spans="1:12">
      <c r="A152">
        <v>47093.55</v>
      </c>
      <c r="B152">
        <v>5550</v>
      </c>
      <c r="C152">
        <v>0.1</v>
      </c>
      <c r="D152">
        <v>12</v>
      </c>
      <c r="E152">
        <v>95</v>
      </c>
      <c r="F152">
        <v>2.33</v>
      </c>
      <c r="G152">
        <v>1</v>
      </c>
      <c r="H152">
        <v>3.7</v>
      </c>
      <c r="I152">
        <v>696744.15</v>
      </c>
      <c r="J152">
        <f t="shared" si="6"/>
        <v>664093.3578155</v>
      </c>
      <c r="K152">
        <f t="shared" si="7"/>
        <v>32650.792184500024</v>
      </c>
      <c r="L152">
        <f t="shared" si="8"/>
        <v>1066074230.2754078</v>
      </c>
    </row>
    <row r="153" spans="1:12">
      <c r="A153">
        <v>71855.09</v>
      </c>
      <c r="B153">
        <v>5911</v>
      </c>
      <c r="C153">
        <v>0.19700000000000001</v>
      </c>
      <c r="D153">
        <v>15</v>
      </c>
      <c r="E153">
        <v>94.3</v>
      </c>
      <c r="F153">
        <v>3.55</v>
      </c>
      <c r="G153">
        <v>0</v>
      </c>
      <c r="H153">
        <v>4.0999999999999996</v>
      </c>
      <c r="I153">
        <v>725847.99</v>
      </c>
      <c r="J153">
        <f t="shared" si="6"/>
        <v>691336.85625490011</v>
      </c>
      <c r="K153">
        <f t="shared" si="7"/>
        <v>34511.133745099884</v>
      </c>
      <c r="L153">
        <f t="shared" si="8"/>
        <v>1191018352.3721719</v>
      </c>
    </row>
    <row r="154" spans="1:12">
      <c r="A154">
        <v>75645.23</v>
      </c>
      <c r="B154">
        <v>9674</v>
      </c>
      <c r="C154">
        <v>0.23400000000000001</v>
      </c>
      <c r="D154">
        <v>21</v>
      </c>
      <c r="E154">
        <v>87.4</v>
      </c>
      <c r="F154">
        <v>0.2</v>
      </c>
      <c r="G154">
        <v>0</v>
      </c>
      <c r="H154">
        <v>4.5</v>
      </c>
      <c r="I154">
        <v>785028.25</v>
      </c>
      <c r="J154">
        <f t="shared" si="6"/>
        <v>809726.19714029995</v>
      </c>
      <c r="K154">
        <f t="shared" si="7"/>
        <v>-24697.947140299948</v>
      </c>
      <c r="L154">
        <f t="shared" si="8"/>
        <v>609988592.94505036</v>
      </c>
    </row>
    <row r="155" spans="1:12">
      <c r="A155">
        <v>64374.75</v>
      </c>
      <c r="B155">
        <v>6740</v>
      </c>
      <c r="C155">
        <v>0.16900000000000001</v>
      </c>
      <c r="D155">
        <v>18</v>
      </c>
      <c r="E155">
        <v>87</v>
      </c>
      <c r="F155">
        <v>2.09</v>
      </c>
      <c r="G155">
        <v>0</v>
      </c>
      <c r="H155">
        <v>4.2</v>
      </c>
      <c r="I155">
        <v>698492.67</v>
      </c>
      <c r="J155">
        <f t="shared" si="6"/>
        <v>700274.44134749996</v>
      </c>
      <c r="K155">
        <f t="shared" si="7"/>
        <v>-1781.7713474999182</v>
      </c>
      <c r="L155">
        <f t="shared" si="8"/>
        <v>3174709.1347716744</v>
      </c>
    </row>
    <row r="156" spans="1:12">
      <c r="A156">
        <v>61433.84</v>
      </c>
      <c r="B156">
        <v>7745</v>
      </c>
      <c r="C156">
        <v>0.18</v>
      </c>
      <c r="D156">
        <v>16</v>
      </c>
      <c r="E156">
        <v>90.5</v>
      </c>
      <c r="F156">
        <v>2.2599999999999998</v>
      </c>
      <c r="G156">
        <v>0</v>
      </c>
      <c r="H156">
        <v>4.2</v>
      </c>
      <c r="I156">
        <v>685830.24</v>
      </c>
      <c r="J156">
        <f t="shared" si="6"/>
        <v>727794.99804240011</v>
      </c>
      <c r="K156">
        <f t="shared" si="7"/>
        <v>-41964.758042400121</v>
      </c>
      <c r="L156">
        <f t="shared" si="8"/>
        <v>1761040917.5571856</v>
      </c>
    </row>
    <row r="157" spans="1:12">
      <c r="A157">
        <v>42698.14</v>
      </c>
      <c r="B157">
        <v>7693</v>
      </c>
      <c r="C157">
        <v>0.187</v>
      </c>
      <c r="D157">
        <v>19</v>
      </c>
      <c r="E157">
        <v>90.1</v>
      </c>
      <c r="F157">
        <v>0.44</v>
      </c>
      <c r="G157">
        <v>0</v>
      </c>
      <c r="H157">
        <v>4.4000000000000004</v>
      </c>
      <c r="I157">
        <v>702318.94</v>
      </c>
      <c r="J157">
        <f t="shared" si="6"/>
        <v>719031.88676539995</v>
      </c>
      <c r="K157">
        <f t="shared" si="7"/>
        <v>-16712.946765400004</v>
      </c>
      <c r="L157">
        <f t="shared" si="8"/>
        <v>279322589.58309442</v>
      </c>
    </row>
    <row r="158" spans="1:12">
      <c r="A158">
        <v>86883.31</v>
      </c>
      <c r="B158">
        <v>6424</v>
      </c>
      <c r="C158">
        <v>5.7000000000000002E-2</v>
      </c>
      <c r="D158">
        <v>19</v>
      </c>
      <c r="E158">
        <v>85.2</v>
      </c>
      <c r="F158">
        <v>3.08</v>
      </c>
      <c r="G158">
        <v>0</v>
      </c>
      <c r="H158">
        <v>3.9</v>
      </c>
      <c r="I158">
        <v>700078.32</v>
      </c>
      <c r="J158">
        <f t="shared" si="6"/>
        <v>717944.92916910001</v>
      </c>
      <c r="K158">
        <f t="shared" si="7"/>
        <v>-17866.609169100062</v>
      </c>
      <c r="L158">
        <f t="shared" si="8"/>
        <v>319215723.20137042</v>
      </c>
    </row>
    <row r="159" spans="1:12">
      <c r="A159">
        <v>41863.08</v>
      </c>
      <c r="B159">
        <v>5400</v>
      </c>
      <c r="C159">
        <v>0.114</v>
      </c>
      <c r="D159">
        <v>11</v>
      </c>
      <c r="E159">
        <v>91.6</v>
      </c>
      <c r="F159">
        <v>7.99</v>
      </c>
      <c r="G159">
        <v>0</v>
      </c>
      <c r="H159">
        <v>3</v>
      </c>
      <c r="I159">
        <v>602002.31999999995</v>
      </c>
      <c r="J159">
        <f t="shared" si="6"/>
        <v>602809.76827879995</v>
      </c>
      <c r="K159">
        <f t="shared" si="7"/>
        <v>-807.4482788000023</v>
      </c>
      <c r="L159">
        <f t="shared" si="8"/>
        <v>651972.72293708625</v>
      </c>
    </row>
    <row r="160" spans="1:12">
      <c r="A160">
        <v>56918.16</v>
      </c>
      <c r="B160">
        <v>7015</v>
      </c>
      <c r="C160">
        <v>0.158</v>
      </c>
      <c r="D160">
        <v>18</v>
      </c>
      <c r="E160">
        <v>74.2</v>
      </c>
      <c r="F160">
        <v>0.2</v>
      </c>
      <c r="G160">
        <v>0</v>
      </c>
      <c r="H160">
        <v>3.4</v>
      </c>
      <c r="I160">
        <v>724216.07</v>
      </c>
      <c r="J160">
        <f t="shared" si="6"/>
        <v>658739.83967759996</v>
      </c>
      <c r="K160">
        <f t="shared" si="7"/>
        <v>65476.230322399992</v>
      </c>
      <c r="L160">
        <f t="shared" si="8"/>
        <v>4287136737.2319722</v>
      </c>
    </row>
    <row r="161" spans="1:12">
      <c r="A161">
        <v>23254.57</v>
      </c>
      <c r="B161">
        <v>3847</v>
      </c>
      <c r="C161">
        <v>0.159</v>
      </c>
      <c r="D161">
        <v>12</v>
      </c>
      <c r="E161">
        <v>93</v>
      </c>
      <c r="F161">
        <v>5.46</v>
      </c>
      <c r="G161">
        <v>0</v>
      </c>
      <c r="H161">
        <v>3.3</v>
      </c>
      <c r="I161">
        <v>620973.03</v>
      </c>
      <c r="J161">
        <f t="shared" si="6"/>
        <v>551950.78673769999</v>
      </c>
      <c r="K161">
        <f t="shared" si="7"/>
        <v>69022.243262300035</v>
      </c>
      <c r="L161">
        <f t="shared" si="8"/>
        <v>4764070064.9601221</v>
      </c>
    </row>
    <row r="162" spans="1:12">
      <c r="A162">
        <v>41443.410000000003</v>
      </c>
      <c r="B162">
        <v>7455</v>
      </c>
      <c r="C162">
        <v>0.17499999999999999</v>
      </c>
      <c r="D162">
        <v>16</v>
      </c>
      <c r="E162">
        <v>90.1</v>
      </c>
      <c r="F162">
        <v>4.05</v>
      </c>
      <c r="G162">
        <v>0</v>
      </c>
      <c r="H162">
        <v>4</v>
      </c>
      <c r="I162">
        <v>650480.06000000006</v>
      </c>
      <c r="J162">
        <f t="shared" si="6"/>
        <v>687919.86433010001</v>
      </c>
      <c r="K162">
        <f t="shared" si="7"/>
        <v>-37439.804330099956</v>
      </c>
      <c r="L162">
        <f t="shared" si="8"/>
        <v>1401738948.2761714</v>
      </c>
    </row>
    <row r="163" spans="1:12">
      <c r="A163">
        <v>48438.85</v>
      </c>
      <c r="B163">
        <v>6992</v>
      </c>
      <c r="C163">
        <v>3.4000000000000002E-2</v>
      </c>
      <c r="D163">
        <v>20</v>
      </c>
      <c r="E163">
        <v>91</v>
      </c>
      <c r="F163">
        <v>4.3600000000000003</v>
      </c>
      <c r="G163">
        <v>0</v>
      </c>
      <c r="H163">
        <v>4.2</v>
      </c>
      <c r="I163">
        <v>778298.88</v>
      </c>
      <c r="J163">
        <f t="shared" si="6"/>
        <v>709699.39094850002</v>
      </c>
      <c r="K163">
        <f t="shared" si="7"/>
        <v>68599.489051499986</v>
      </c>
      <c r="L163">
        <f t="shared" si="8"/>
        <v>4705889898.1268663</v>
      </c>
    </row>
    <row r="164" spans="1:12">
      <c r="A164">
        <v>57143.3</v>
      </c>
      <c r="B164">
        <v>8038</v>
      </c>
      <c r="C164">
        <v>0.193</v>
      </c>
      <c r="D164">
        <v>17</v>
      </c>
      <c r="E164">
        <v>72.599999999999994</v>
      </c>
      <c r="F164">
        <f>K2</f>
        <v>-54574.688707099878</v>
      </c>
      <c r="G164">
        <v>0</v>
      </c>
      <c r="H164">
        <v>4.2</v>
      </c>
      <c r="I164">
        <v>677096.71</v>
      </c>
      <c r="J164">
        <f t="shared" si="6"/>
        <v>158417805.38517305</v>
      </c>
      <c r="K164">
        <f t="shared" si="7"/>
        <v>-157740708.67517304</v>
      </c>
      <c r="L164">
        <f t="shared" si="8"/>
        <v>2.4882131173345812E+16</v>
      </c>
    </row>
    <row r="165" spans="1:12">
      <c r="A165">
        <v>66870.62</v>
      </c>
      <c r="B165">
        <v>6055</v>
      </c>
      <c r="C165">
        <v>7.4999999999999997E-2</v>
      </c>
      <c r="D165">
        <v>19</v>
      </c>
      <c r="E165">
        <v>93.8</v>
      </c>
      <c r="F165">
        <v>0.54</v>
      </c>
      <c r="G165">
        <v>0</v>
      </c>
      <c r="H165">
        <v>4.3</v>
      </c>
      <c r="I165">
        <v>692008.64</v>
      </c>
      <c r="J165">
        <f t="shared" si="6"/>
        <v>719863.15177820006</v>
      </c>
      <c r="K165">
        <f t="shared" si="7"/>
        <v>-27854.511778200045</v>
      </c>
      <c r="L165">
        <f t="shared" si="8"/>
        <v>775873826.40188503</v>
      </c>
    </row>
    <row r="166" spans="1:12">
      <c r="A166">
        <v>72150.53</v>
      </c>
      <c r="B166">
        <v>9323</v>
      </c>
      <c r="C166">
        <v>0.157</v>
      </c>
      <c r="D166">
        <v>22</v>
      </c>
      <c r="E166">
        <v>82.9</v>
      </c>
      <c r="F166">
        <v>11.37</v>
      </c>
      <c r="G166">
        <v>1</v>
      </c>
      <c r="H166">
        <v>4.3</v>
      </c>
      <c r="I166">
        <v>825797.91</v>
      </c>
      <c r="J166">
        <f t="shared" si="6"/>
        <v>769602.42287329992</v>
      </c>
      <c r="K166">
        <f t="shared" si="7"/>
        <v>56195.487126700114</v>
      </c>
      <c r="L166">
        <f t="shared" si="8"/>
        <v>3157932773.4071183</v>
      </c>
    </row>
    <row r="167" spans="1:12">
      <c r="A167">
        <v>35303.300000000003</v>
      </c>
      <c r="B167">
        <v>8789</v>
      </c>
      <c r="C167">
        <v>0.123</v>
      </c>
      <c r="D167">
        <v>22</v>
      </c>
      <c r="E167">
        <v>86.1</v>
      </c>
      <c r="F167">
        <v>9.43</v>
      </c>
      <c r="G167">
        <v>0</v>
      </c>
      <c r="H167">
        <v>4.2</v>
      </c>
      <c r="I167">
        <v>706285.52</v>
      </c>
      <c r="J167">
        <f t="shared" si="6"/>
        <v>714636.62851299997</v>
      </c>
      <c r="K167">
        <f t="shared" si="7"/>
        <v>-8351.1085129999556</v>
      </c>
      <c r="L167">
        <f t="shared" si="8"/>
        <v>69741013.395900324</v>
      </c>
    </row>
    <row r="168" spans="1:12">
      <c r="A168">
        <v>30301.86</v>
      </c>
      <c r="B168">
        <v>6939</v>
      </c>
      <c r="C168">
        <v>0.09</v>
      </c>
      <c r="D168">
        <v>16</v>
      </c>
      <c r="E168">
        <v>90.3</v>
      </c>
      <c r="F168">
        <v>3.49</v>
      </c>
      <c r="G168">
        <v>0</v>
      </c>
      <c r="H168">
        <v>4</v>
      </c>
      <c r="I168">
        <v>665534.69999999995</v>
      </c>
      <c r="J168">
        <f t="shared" si="6"/>
        <v>668680.65123460011</v>
      </c>
      <c r="K168">
        <f t="shared" si="7"/>
        <v>-3145.9512346001575</v>
      </c>
      <c r="L168">
        <f t="shared" si="8"/>
        <v>9897009.1704822555</v>
      </c>
    </row>
    <row r="169" spans="1:12">
      <c r="A169">
        <v>78432.14</v>
      </c>
      <c r="B169">
        <v>9440</v>
      </c>
      <c r="C169">
        <v>0.126</v>
      </c>
      <c r="D169">
        <v>23</v>
      </c>
      <c r="E169">
        <v>89.2</v>
      </c>
      <c r="F169">
        <v>7.86</v>
      </c>
      <c r="G169">
        <v>0</v>
      </c>
      <c r="H169">
        <v>4.0999999999999996</v>
      </c>
      <c r="I169">
        <v>820729.29</v>
      </c>
      <c r="J169">
        <f t="shared" si="6"/>
        <v>799535.09150540002</v>
      </c>
      <c r="K169">
        <f t="shared" si="7"/>
        <v>21194.198494600016</v>
      </c>
      <c r="L169">
        <f t="shared" si="8"/>
        <v>449194049.82850558</v>
      </c>
    </row>
    <row r="170" spans="1:12">
      <c r="A170">
        <v>62059.18</v>
      </c>
      <c r="B170">
        <v>9374</v>
      </c>
      <c r="C170">
        <v>0.13600000000000001</v>
      </c>
      <c r="D170">
        <v>25</v>
      </c>
      <c r="E170">
        <v>87.1</v>
      </c>
      <c r="F170">
        <v>12.55</v>
      </c>
      <c r="G170">
        <v>0</v>
      </c>
      <c r="H170">
        <v>4.9000000000000004</v>
      </c>
      <c r="I170">
        <v>739831.73</v>
      </c>
      <c r="J170">
        <f t="shared" si="6"/>
        <v>772246.14739980001</v>
      </c>
      <c r="K170">
        <f t="shared" si="7"/>
        <v>-32414.417399800033</v>
      </c>
      <c r="L170">
        <f t="shared" si="8"/>
        <v>1050694455.3684591</v>
      </c>
    </row>
    <row r="171" spans="1:12">
      <c r="A171">
        <v>32834.480000000003</v>
      </c>
      <c r="B171">
        <v>7576</v>
      </c>
      <c r="C171">
        <v>9.9000000000000005E-2</v>
      </c>
      <c r="D171">
        <v>15</v>
      </c>
      <c r="E171">
        <v>84.1</v>
      </c>
      <c r="F171">
        <v>3.48</v>
      </c>
      <c r="G171">
        <v>0</v>
      </c>
      <c r="H171">
        <v>5</v>
      </c>
      <c r="I171">
        <v>593637.14</v>
      </c>
      <c r="J171">
        <f t="shared" si="6"/>
        <v>677624.85483280011</v>
      </c>
      <c r="K171">
        <f t="shared" si="7"/>
        <v>-83987.714832800091</v>
      </c>
      <c r="L171">
        <f t="shared" si="8"/>
        <v>7053936242.8357487</v>
      </c>
    </row>
    <row r="172" spans="1:12">
      <c r="A172">
        <v>50825.08</v>
      </c>
      <c r="B172">
        <v>8949</v>
      </c>
      <c r="C172">
        <v>0.157</v>
      </c>
      <c r="D172">
        <v>21</v>
      </c>
      <c r="E172">
        <v>84.7</v>
      </c>
      <c r="F172">
        <v>7.73</v>
      </c>
      <c r="G172">
        <v>0</v>
      </c>
      <c r="H172">
        <v>4.9000000000000004</v>
      </c>
      <c r="I172">
        <v>769702.76</v>
      </c>
      <c r="J172">
        <f t="shared" si="6"/>
        <v>739993.14609879989</v>
      </c>
      <c r="K172">
        <f t="shared" si="7"/>
        <v>29709.613901200122</v>
      </c>
      <c r="L172">
        <f t="shared" si="8"/>
        <v>882661158.15838349</v>
      </c>
    </row>
    <row r="173" spans="1:12">
      <c r="A173">
        <v>36606.51</v>
      </c>
      <c r="B173">
        <v>7671</v>
      </c>
      <c r="C173">
        <v>0.11799999999999999</v>
      </c>
      <c r="D173">
        <v>18</v>
      </c>
      <c r="E173">
        <v>89.8</v>
      </c>
      <c r="F173">
        <v>0.25</v>
      </c>
      <c r="G173">
        <v>0</v>
      </c>
      <c r="H173">
        <v>4.4000000000000004</v>
      </c>
      <c r="I173">
        <v>679731.57</v>
      </c>
      <c r="J173">
        <f t="shared" si="6"/>
        <v>712740.01032109989</v>
      </c>
      <c r="K173">
        <f t="shared" si="7"/>
        <v>-33008.440321099944</v>
      </c>
      <c r="L173">
        <f t="shared" si="8"/>
        <v>1089557132.4316165</v>
      </c>
    </row>
    <row r="174" spans="1:12">
      <c r="A174">
        <v>65237.79</v>
      </c>
      <c r="B174">
        <v>8741</v>
      </c>
      <c r="C174">
        <v>0.157</v>
      </c>
      <c r="D174">
        <v>20</v>
      </c>
      <c r="E174">
        <v>94.4</v>
      </c>
      <c r="F174">
        <v>6.43</v>
      </c>
      <c r="G174">
        <v>0</v>
      </c>
      <c r="H174">
        <v>3.3</v>
      </c>
      <c r="I174">
        <v>780344.18</v>
      </c>
      <c r="J174">
        <f t="shared" si="6"/>
        <v>764261.97620189993</v>
      </c>
      <c r="K174">
        <f t="shared" si="7"/>
        <v>16082.203798100119</v>
      </c>
      <c r="L174">
        <f t="shared" si="8"/>
        <v>258637279.0036259</v>
      </c>
    </row>
    <row r="175" spans="1:12">
      <c r="A175">
        <v>43645.98</v>
      </c>
      <c r="B175">
        <v>9480</v>
      </c>
      <c r="C175">
        <v>0.109</v>
      </c>
      <c r="D175">
        <v>22</v>
      </c>
      <c r="E175">
        <v>89</v>
      </c>
      <c r="F175">
        <v>2.11</v>
      </c>
      <c r="G175">
        <v>0</v>
      </c>
      <c r="H175">
        <v>3.1</v>
      </c>
      <c r="I175">
        <v>721364.11</v>
      </c>
      <c r="J175">
        <f t="shared" si="6"/>
        <v>763135.13034779998</v>
      </c>
      <c r="K175">
        <f t="shared" si="7"/>
        <v>-41771.020347799989</v>
      </c>
      <c r="L175">
        <f t="shared" si="8"/>
        <v>1744818140.8963208</v>
      </c>
    </row>
    <row r="176" spans="1:12">
      <c r="A176">
        <v>68040.149999999994</v>
      </c>
      <c r="B176">
        <v>9826</v>
      </c>
      <c r="C176">
        <v>0.125</v>
      </c>
      <c r="D176">
        <v>20</v>
      </c>
      <c r="E176">
        <v>83.9</v>
      </c>
      <c r="F176">
        <v>9.1199999999999992</v>
      </c>
      <c r="G176">
        <v>0</v>
      </c>
      <c r="H176">
        <v>3.6</v>
      </c>
      <c r="I176">
        <v>758138.29</v>
      </c>
      <c r="J176">
        <f t="shared" si="6"/>
        <v>764085.24324149999</v>
      </c>
      <c r="K176">
        <f t="shared" si="7"/>
        <v>-5946.9532414999558</v>
      </c>
      <c r="L176">
        <f t="shared" si="8"/>
        <v>35366252.856586829</v>
      </c>
    </row>
    <row r="177" spans="1:12">
      <c r="A177">
        <v>63043.94</v>
      </c>
      <c r="B177">
        <v>10402</v>
      </c>
      <c r="C177">
        <v>0.159</v>
      </c>
      <c r="D177">
        <v>23</v>
      </c>
      <c r="E177">
        <v>93.9</v>
      </c>
      <c r="F177">
        <v>2.71</v>
      </c>
      <c r="G177">
        <v>0</v>
      </c>
      <c r="H177">
        <v>3.1</v>
      </c>
      <c r="I177">
        <v>804264</v>
      </c>
      <c r="J177">
        <f t="shared" si="6"/>
        <v>824211.19870339998</v>
      </c>
      <c r="K177">
        <f t="shared" si="7"/>
        <v>-19947.198703399976</v>
      </c>
      <c r="L177">
        <f t="shared" si="8"/>
        <v>397890736.11292166</v>
      </c>
    </row>
    <row r="178" spans="1:12">
      <c r="A178">
        <v>67494.09</v>
      </c>
      <c r="B178">
        <v>12361</v>
      </c>
      <c r="C178">
        <v>4.5999999999999999E-2</v>
      </c>
      <c r="D178">
        <v>24</v>
      </c>
      <c r="E178">
        <v>76.599999999999994</v>
      </c>
      <c r="F178">
        <v>3.65</v>
      </c>
      <c r="G178">
        <v>1</v>
      </c>
      <c r="H178">
        <v>3.7</v>
      </c>
      <c r="I178">
        <v>887537.75</v>
      </c>
      <c r="J178">
        <f t="shared" si="6"/>
        <v>860105.01204489998</v>
      </c>
      <c r="K178">
        <f t="shared" si="7"/>
        <v>27432.737955100019</v>
      </c>
      <c r="L178">
        <f t="shared" si="8"/>
        <v>752555111.71318519</v>
      </c>
    </row>
    <row r="179" spans="1:12">
      <c r="A179">
        <v>29389.32</v>
      </c>
      <c r="B179">
        <v>7925</v>
      </c>
      <c r="C179">
        <v>0.17699999999999999</v>
      </c>
      <c r="D179">
        <v>21</v>
      </c>
      <c r="E179">
        <v>90.9</v>
      </c>
      <c r="F179">
        <v>7.86</v>
      </c>
      <c r="G179">
        <v>0</v>
      </c>
      <c r="H179">
        <v>4</v>
      </c>
      <c r="I179">
        <v>783582</v>
      </c>
      <c r="J179">
        <f t="shared" si="6"/>
        <v>693377.6726852</v>
      </c>
      <c r="K179">
        <f t="shared" si="7"/>
        <v>90204.327314800001</v>
      </c>
      <c r="L179">
        <f t="shared" si="8"/>
        <v>8136820666.3155737</v>
      </c>
    </row>
    <row r="180" spans="1:12">
      <c r="A180">
        <v>40535.089999999997</v>
      </c>
      <c r="B180">
        <v>8870</v>
      </c>
      <c r="C180">
        <v>4.1000000000000002E-2</v>
      </c>
      <c r="D180">
        <v>21</v>
      </c>
      <c r="E180">
        <v>86.6</v>
      </c>
      <c r="F180">
        <v>0.3</v>
      </c>
      <c r="G180">
        <v>0</v>
      </c>
      <c r="H180">
        <v>4.0999999999999996</v>
      </c>
      <c r="I180">
        <v>781955.52</v>
      </c>
      <c r="J180">
        <f t="shared" si="6"/>
        <v>752763.07405489997</v>
      </c>
      <c r="K180">
        <f t="shared" si="7"/>
        <v>29192.445945100044</v>
      </c>
      <c r="L180">
        <f t="shared" si="8"/>
        <v>852198900.25758803</v>
      </c>
    </row>
    <row r="181" spans="1:12">
      <c r="A181">
        <v>74881.56</v>
      </c>
      <c r="B181">
        <v>9999</v>
      </c>
      <c r="C181">
        <v>1.2999999999999999E-2</v>
      </c>
      <c r="D181">
        <v>20</v>
      </c>
      <c r="E181">
        <v>89.6</v>
      </c>
      <c r="F181">
        <v>8.44</v>
      </c>
      <c r="G181">
        <v>0</v>
      </c>
      <c r="H181">
        <v>4.0999999999999996</v>
      </c>
      <c r="I181">
        <v>898031.04</v>
      </c>
      <c r="J181">
        <f t="shared" si="6"/>
        <v>809312.81235160003</v>
      </c>
      <c r="K181">
        <f t="shared" si="7"/>
        <v>88718.227648400003</v>
      </c>
      <c r="L181">
        <f t="shared" si="8"/>
        <v>7870923917.0733271</v>
      </c>
    </row>
    <row r="182" spans="1:12">
      <c r="A182">
        <v>68491.11</v>
      </c>
      <c r="B182">
        <v>11154</v>
      </c>
      <c r="C182">
        <v>1E-3</v>
      </c>
      <c r="D182">
        <v>24</v>
      </c>
      <c r="E182">
        <v>89.4</v>
      </c>
      <c r="F182">
        <v>5.27</v>
      </c>
      <c r="G182">
        <v>1</v>
      </c>
      <c r="H182">
        <v>3.9</v>
      </c>
      <c r="I182">
        <v>855341.28</v>
      </c>
      <c r="J182">
        <f t="shared" si="6"/>
        <v>866575.15292709984</v>
      </c>
      <c r="K182">
        <f t="shared" si="7"/>
        <v>-11233.872927099816</v>
      </c>
      <c r="L182">
        <f t="shared" si="8"/>
        <v>126199900.94222617</v>
      </c>
    </row>
    <row r="183" spans="1:12">
      <c r="A183">
        <v>45209.25</v>
      </c>
      <c r="B183">
        <v>9287</v>
      </c>
      <c r="C183">
        <v>0.14099999999999999</v>
      </c>
      <c r="D183">
        <v>22</v>
      </c>
      <c r="E183">
        <v>86.4</v>
      </c>
      <c r="F183">
        <v>13.22</v>
      </c>
      <c r="G183">
        <v>0</v>
      </c>
      <c r="H183">
        <v>3.6</v>
      </c>
      <c r="I183">
        <v>751393.88</v>
      </c>
      <c r="J183">
        <f t="shared" si="6"/>
        <v>722639.27089250006</v>
      </c>
      <c r="K183">
        <f t="shared" si="7"/>
        <v>28754.609107499942</v>
      </c>
      <c r="L183">
        <f t="shared" si="8"/>
        <v>826827544.92511857</v>
      </c>
    </row>
    <row r="184" spans="1:12">
      <c r="A184">
        <v>63010.23</v>
      </c>
      <c r="B184">
        <v>9812</v>
      </c>
      <c r="C184">
        <v>0.113</v>
      </c>
      <c r="D184">
        <v>24</v>
      </c>
      <c r="E184">
        <v>76.8</v>
      </c>
      <c r="F184">
        <v>1.02</v>
      </c>
      <c r="G184">
        <v>1</v>
      </c>
      <c r="H184">
        <v>3.8</v>
      </c>
      <c r="I184">
        <v>761077.08</v>
      </c>
      <c r="J184">
        <f t="shared" si="6"/>
        <v>788190.50879029999</v>
      </c>
      <c r="K184">
        <f t="shared" si="7"/>
        <v>-27113.428790300037</v>
      </c>
      <c r="L184">
        <f t="shared" si="8"/>
        <v>735138020.76667094</v>
      </c>
    </row>
    <row r="185" spans="1:12">
      <c r="A185">
        <v>57948.88</v>
      </c>
      <c r="B185">
        <v>10741</v>
      </c>
      <c r="C185">
        <v>7.0000000000000007E-2</v>
      </c>
      <c r="D185">
        <v>25</v>
      </c>
      <c r="E185">
        <v>90.1</v>
      </c>
      <c r="F185">
        <v>4.03</v>
      </c>
      <c r="G185">
        <v>0</v>
      </c>
      <c r="H185">
        <v>3.1</v>
      </c>
      <c r="I185">
        <v>819660.59</v>
      </c>
      <c r="J185">
        <f t="shared" si="6"/>
        <v>825025.02661679976</v>
      </c>
      <c r="K185">
        <f t="shared" si="7"/>
        <v>-5364.4366167997941</v>
      </c>
      <c r="L185">
        <f t="shared" si="8"/>
        <v>28777180.21566242</v>
      </c>
    </row>
    <row r="186" spans="1:12">
      <c r="A186">
        <v>71941.62</v>
      </c>
      <c r="B186">
        <v>6084</v>
      </c>
      <c r="C186">
        <v>7.1999999999999995E-2</v>
      </c>
      <c r="D186">
        <v>13</v>
      </c>
      <c r="E186">
        <v>93.7</v>
      </c>
      <c r="F186">
        <v>2.34</v>
      </c>
      <c r="G186">
        <v>0</v>
      </c>
      <c r="H186">
        <v>4.4000000000000004</v>
      </c>
      <c r="I186">
        <v>681855.56</v>
      </c>
      <c r="J186">
        <f t="shared" si="6"/>
        <v>703937.18508820015</v>
      </c>
      <c r="K186">
        <f t="shared" si="7"/>
        <v>-22081.62508820009</v>
      </c>
      <c r="L186">
        <f t="shared" si="8"/>
        <v>487598166.53582764</v>
      </c>
    </row>
    <row r="187" spans="1:12">
      <c r="A187">
        <v>57147.88</v>
      </c>
      <c r="B187">
        <v>5252</v>
      </c>
      <c r="C187">
        <v>0.161</v>
      </c>
      <c r="D187">
        <v>15</v>
      </c>
      <c r="E187">
        <v>95.5</v>
      </c>
      <c r="F187">
        <v>8.51</v>
      </c>
      <c r="G187">
        <v>0</v>
      </c>
      <c r="H187">
        <v>4.4000000000000004</v>
      </c>
      <c r="I187">
        <v>678311.17</v>
      </c>
      <c r="J187">
        <f t="shared" si="6"/>
        <v>650519.06500680011</v>
      </c>
      <c r="K187">
        <f t="shared" si="7"/>
        <v>27792.10499319993</v>
      </c>
      <c r="L187">
        <f t="shared" si="8"/>
        <v>772401099.95304847</v>
      </c>
    </row>
    <row r="188" spans="1:12">
      <c r="A188">
        <v>48031.74</v>
      </c>
      <c r="B188">
        <v>6516</v>
      </c>
      <c r="C188">
        <v>6.7000000000000004E-2</v>
      </c>
      <c r="D188">
        <v>14</v>
      </c>
      <c r="E188">
        <v>99</v>
      </c>
      <c r="F188">
        <v>0.48</v>
      </c>
      <c r="G188">
        <v>1</v>
      </c>
      <c r="H188">
        <v>4.3</v>
      </c>
      <c r="I188">
        <v>765906.95</v>
      </c>
      <c r="J188">
        <f t="shared" si="6"/>
        <v>724228.56926140003</v>
      </c>
      <c r="K188">
        <f t="shared" si="7"/>
        <v>41678.380738599924</v>
      </c>
      <c r="L188">
        <f t="shared" si="8"/>
        <v>1737087420.9916971</v>
      </c>
    </row>
    <row r="189" spans="1:12">
      <c r="A189">
        <v>72784.800000000003</v>
      </c>
      <c r="B189">
        <v>7932</v>
      </c>
      <c r="C189">
        <v>9.4E-2</v>
      </c>
      <c r="D189">
        <v>20</v>
      </c>
      <c r="E189">
        <v>74.900000000000006</v>
      </c>
      <c r="F189">
        <v>13.62</v>
      </c>
      <c r="G189">
        <v>0</v>
      </c>
      <c r="H189">
        <v>4.2</v>
      </c>
      <c r="I189">
        <v>712546.38</v>
      </c>
      <c r="J189">
        <f t="shared" si="6"/>
        <v>685533.12772800005</v>
      </c>
      <c r="K189">
        <f t="shared" si="7"/>
        <v>27013.252271999954</v>
      </c>
      <c r="L189">
        <f t="shared" si="8"/>
        <v>729715798.31071067</v>
      </c>
    </row>
    <row r="190" spans="1:12">
      <c r="A190">
        <v>71641.899999999994</v>
      </c>
      <c r="B190">
        <v>3506</v>
      </c>
      <c r="C190">
        <v>0</v>
      </c>
      <c r="D190">
        <v>11</v>
      </c>
      <c r="E190">
        <v>86.4</v>
      </c>
      <c r="F190">
        <v>7.77</v>
      </c>
      <c r="G190">
        <v>0</v>
      </c>
      <c r="H190">
        <v>4.0999999999999996</v>
      </c>
      <c r="I190">
        <v>625993.82999999996</v>
      </c>
      <c r="J190">
        <f t="shared" si="6"/>
        <v>590141.02905899996</v>
      </c>
      <c r="K190">
        <f t="shared" si="7"/>
        <v>35852.800940999994</v>
      </c>
      <c r="L190">
        <f t="shared" si="8"/>
        <v>1285423335.31497</v>
      </c>
    </row>
    <row r="191" spans="1:12">
      <c r="A191">
        <v>55788.61</v>
      </c>
      <c r="B191">
        <v>2312</v>
      </c>
      <c r="C191">
        <v>5.8000000000000003E-2</v>
      </c>
      <c r="D191">
        <v>10</v>
      </c>
      <c r="E191">
        <v>91.3</v>
      </c>
      <c r="F191">
        <v>1.99</v>
      </c>
      <c r="G191">
        <v>0</v>
      </c>
      <c r="H191">
        <v>3.8</v>
      </c>
      <c r="I191">
        <v>550962.93000000005</v>
      </c>
      <c r="J191">
        <f t="shared" si="6"/>
        <v>559039.66490209987</v>
      </c>
      <c r="K191">
        <f t="shared" si="7"/>
        <v>-8076.7349020998226</v>
      </c>
      <c r="L191">
        <f t="shared" si="8"/>
        <v>65233646.678797431</v>
      </c>
    </row>
    <row r="192" spans="1:12">
      <c r="A192">
        <v>37705.879999999997</v>
      </c>
      <c r="B192">
        <v>1268</v>
      </c>
      <c r="C192">
        <v>0.25900000000000001</v>
      </c>
      <c r="D192">
        <v>9</v>
      </c>
      <c r="E192">
        <v>84.1</v>
      </c>
      <c r="F192">
        <v>4.7699999999999996</v>
      </c>
      <c r="G192">
        <v>0</v>
      </c>
      <c r="H192">
        <v>3.8</v>
      </c>
      <c r="I192">
        <v>443275.59</v>
      </c>
      <c r="J192">
        <f t="shared" si="6"/>
        <v>461382.33338680002</v>
      </c>
      <c r="K192">
        <f t="shared" si="7"/>
        <v>-18106.743386799993</v>
      </c>
      <c r="L192">
        <f t="shared" si="8"/>
        <v>327854156.07542533</v>
      </c>
    </row>
    <row r="193" spans="1:12">
      <c r="A193">
        <v>54966.18</v>
      </c>
      <c r="B193">
        <v>4423</v>
      </c>
      <c r="C193">
        <v>0.186</v>
      </c>
      <c r="D193">
        <v>13</v>
      </c>
      <c r="E193">
        <v>88.7</v>
      </c>
      <c r="F193">
        <v>0.2</v>
      </c>
      <c r="G193">
        <v>0</v>
      </c>
      <c r="H193">
        <v>4.4000000000000004</v>
      </c>
      <c r="I193">
        <v>554012.06999999995</v>
      </c>
      <c r="J193">
        <f t="shared" si="6"/>
        <v>620557.54566980002</v>
      </c>
      <c r="K193">
        <f t="shared" si="7"/>
        <v>-66545.475669800071</v>
      </c>
      <c r="L193">
        <f t="shared" si="8"/>
        <v>4428300332.1199532</v>
      </c>
    </row>
    <row r="194" spans="1:12">
      <c r="A194">
        <v>81796.740000000005</v>
      </c>
      <c r="B194">
        <v>6177</v>
      </c>
      <c r="C194">
        <v>0.16400000000000001</v>
      </c>
      <c r="D194">
        <v>14</v>
      </c>
      <c r="E194">
        <v>87.9</v>
      </c>
      <c r="F194">
        <v>0.53</v>
      </c>
      <c r="G194">
        <v>0</v>
      </c>
      <c r="H194">
        <v>3.2</v>
      </c>
      <c r="I194">
        <v>643428.85</v>
      </c>
      <c r="J194">
        <f t="shared" si="6"/>
        <v>690035.47191139997</v>
      </c>
      <c r="K194">
        <f t="shared" si="7"/>
        <v>-46606.621911399998</v>
      </c>
      <c r="L194">
        <f t="shared" si="8"/>
        <v>2172177205.9921904</v>
      </c>
    </row>
    <row r="195" spans="1:12">
      <c r="A195">
        <v>51133.43</v>
      </c>
      <c r="B195">
        <v>5150</v>
      </c>
      <c r="C195">
        <v>0.15</v>
      </c>
      <c r="D195">
        <v>12</v>
      </c>
      <c r="E195">
        <v>88.5</v>
      </c>
      <c r="F195">
        <v>1.54</v>
      </c>
      <c r="G195">
        <v>0</v>
      </c>
      <c r="H195">
        <v>3.2</v>
      </c>
      <c r="I195">
        <v>611924.27</v>
      </c>
      <c r="J195">
        <f t="shared" ref="J195:J258" si="9">95006.4+(1.18561*A195)+(27.858*B195)+(-72102*C195)+(3084.08*D195)+(2989.33*E195)+(-2890.2*F195)+(12984.1*G195)+(10433.9*H195)</f>
        <v>618786.34294230002</v>
      </c>
      <c r="K195">
        <f t="shared" ref="K195:K258" si="10">I195-J195</f>
        <v>-6862.0729423000012</v>
      </c>
      <c r="L195">
        <f t="shared" ref="L195:L258" si="11">K195^2</f>
        <v>47088045.065445796</v>
      </c>
    </row>
    <row r="196" spans="1:12">
      <c r="A196">
        <v>40220.18</v>
      </c>
      <c r="B196">
        <v>3783</v>
      </c>
      <c r="C196">
        <v>8.8999999999999996E-2</v>
      </c>
      <c r="D196">
        <v>14</v>
      </c>
      <c r="E196">
        <v>86.6</v>
      </c>
      <c r="F196">
        <v>3.63</v>
      </c>
      <c r="G196">
        <v>0</v>
      </c>
      <c r="H196">
        <v>3.7</v>
      </c>
      <c r="I196">
        <v>559422.02</v>
      </c>
      <c r="J196">
        <f t="shared" si="9"/>
        <v>571828.68560980004</v>
      </c>
      <c r="K196">
        <f t="shared" si="10"/>
        <v>-12406.665609800024</v>
      </c>
      <c r="L196">
        <f t="shared" si="11"/>
        <v>153925351.55339459</v>
      </c>
    </row>
    <row r="197" spans="1:12">
      <c r="A197">
        <v>41657.64</v>
      </c>
      <c r="B197">
        <v>3135</v>
      </c>
      <c r="C197">
        <v>0.22900000000000001</v>
      </c>
      <c r="D197">
        <v>7</v>
      </c>
      <c r="E197">
        <v>85.4</v>
      </c>
      <c r="F197">
        <v>13.48</v>
      </c>
      <c r="G197">
        <v>0</v>
      </c>
      <c r="H197">
        <f>3.924</f>
        <v>3.9239999999999999</v>
      </c>
      <c r="I197">
        <v>449465.06</v>
      </c>
      <c r="J197">
        <f t="shared" si="9"/>
        <v>494079.65616039996</v>
      </c>
      <c r="K197">
        <f t="shared" si="10"/>
        <v>-44614.59616039996</v>
      </c>
      <c r="L197">
        <f t="shared" si="11"/>
        <v>1990462190.5555749</v>
      </c>
    </row>
    <row r="198" spans="1:12">
      <c r="A198">
        <v>71851.45</v>
      </c>
      <c r="B198">
        <v>4970</v>
      </c>
      <c r="C198">
        <v>9.8000000000000004E-2</v>
      </c>
      <c r="D198">
        <v>11</v>
      </c>
      <c r="E198">
        <v>89.6</v>
      </c>
      <c r="F198">
        <v>0.2</v>
      </c>
      <c r="G198">
        <v>0</v>
      </c>
      <c r="H198">
        <v>4.2</v>
      </c>
      <c r="I198">
        <v>691447.43</v>
      </c>
      <c r="J198">
        <f t="shared" si="9"/>
        <v>656595.64963449992</v>
      </c>
      <c r="K198">
        <f t="shared" si="10"/>
        <v>34851.780365500133</v>
      </c>
      <c r="L198">
        <f t="shared" si="11"/>
        <v>1214646594.6450605</v>
      </c>
    </row>
    <row r="199" spans="1:12">
      <c r="A199">
        <v>54002.83</v>
      </c>
      <c r="B199">
        <v>4366</v>
      </c>
      <c r="C199">
        <v>2.7E-2</v>
      </c>
      <c r="D199">
        <v>15</v>
      </c>
      <c r="E199">
        <v>90.6</v>
      </c>
      <c r="F199">
        <v>12.82</v>
      </c>
      <c r="G199">
        <v>0</v>
      </c>
      <c r="H199">
        <v>4.5999999999999996</v>
      </c>
      <c r="I199">
        <v>574066.61</v>
      </c>
      <c r="J199">
        <f t="shared" si="9"/>
        <v>606752.04327629996</v>
      </c>
      <c r="K199">
        <f t="shared" si="10"/>
        <v>-32685.433276299969</v>
      </c>
      <c r="L199">
        <f t="shared" si="11"/>
        <v>1068337548.4594574</v>
      </c>
    </row>
    <row r="200" spans="1:12">
      <c r="A200">
        <v>54479.33</v>
      </c>
      <c r="B200">
        <v>5012</v>
      </c>
      <c r="C200">
        <v>0.28399999999999997</v>
      </c>
      <c r="D200">
        <v>13</v>
      </c>
      <c r="E200">
        <v>86</v>
      </c>
      <c r="F200">
        <v>2.2400000000000002</v>
      </c>
      <c r="G200">
        <v>1</v>
      </c>
      <c r="H200">
        <v>4.3</v>
      </c>
      <c r="I200">
        <v>578949.84</v>
      </c>
      <c r="J200">
        <f t="shared" si="9"/>
        <v>627296.20844129997</v>
      </c>
      <c r="K200">
        <f t="shared" si="10"/>
        <v>-48346.368441300001</v>
      </c>
      <c r="L200">
        <f t="shared" si="11"/>
        <v>2337371341.4619288</v>
      </c>
    </row>
    <row r="201" spans="1:12">
      <c r="A201">
        <v>61391.8</v>
      </c>
      <c r="B201">
        <v>5575</v>
      </c>
      <c r="C201">
        <v>0.189</v>
      </c>
      <c r="D201">
        <v>18</v>
      </c>
      <c r="E201">
        <v>90</v>
      </c>
      <c r="F201">
        <v>1.8</v>
      </c>
      <c r="G201">
        <v>0</v>
      </c>
      <c r="H201">
        <v>4.8</v>
      </c>
      <c r="I201">
        <v>735786.64</v>
      </c>
      <c r="J201">
        <f t="shared" si="9"/>
        <v>678907.70399800001</v>
      </c>
      <c r="K201">
        <f t="shared" si="10"/>
        <v>56878.936002000002</v>
      </c>
      <c r="L201">
        <f t="shared" si="11"/>
        <v>3235213360.7196121</v>
      </c>
    </row>
    <row r="202" spans="1:12">
      <c r="A202">
        <v>22312.93</v>
      </c>
      <c r="B202">
        <v>5955</v>
      </c>
      <c r="C202">
        <v>0.123</v>
      </c>
      <c r="D202">
        <v>13</v>
      </c>
      <c r="E202">
        <v>84.2</v>
      </c>
      <c r="F202">
        <v>0.41</v>
      </c>
      <c r="G202">
        <v>1</v>
      </c>
      <c r="H202">
        <v>4.5999999999999996</v>
      </c>
      <c r="I202">
        <v>598904.9</v>
      </c>
      <c r="J202">
        <f t="shared" si="9"/>
        <v>630076.36093729991</v>
      </c>
      <c r="K202">
        <f t="shared" si="10"/>
        <v>-31171.460937299882</v>
      </c>
      <c r="L202">
        <f t="shared" si="11"/>
        <v>971659976.96561241</v>
      </c>
    </row>
    <row r="203" spans="1:12">
      <c r="A203">
        <v>78111.97</v>
      </c>
      <c r="B203">
        <v>6389</v>
      </c>
      <c r="C203">
        <v>0.15</v>
      </c>
      <c r="D203">
        <v>13</v>
      </c>
      <c r="E203">
        <v>83.9</v>
      </c>
      <c r="F203">
        <v>3.05</v>
      </c>
      <c r="G203">
        <v>0</v>
      </c>
      <c r="H203">
        <v>4.8</v>
      </c>
      <c r="I203">
        <v>787715.51</v>
      </c>
      <c r="J203">
        <f t="shared" si="9"/>
        <v>686951.63175169996</v>
      </c>
      <c r="K203">
        <f t="shared" si="10"/>
        <v>100763.87824830005</v>
      </c>
      <c r="L203">
        <f t="shared" si="11"/>
        <v>10153359159.638237</v>
      </c>
    </row>
    <row r="204" spans="1:12">
      <c r="A204">
        <v>35203.230000000003</v>
      </c>
      <c r="B204">
        <v>6896</v>
      </c>
      <c r="C204">
        <v>3.2000000000000001E-2</v>
      </c>
      <c r="D204">
        <v>14</v>
      </c>
      <c r="E204">
        <v>80.8</v>
      </c>
      <c r="F204">
        <v>8.44</v>
      </c>
      <c r="G204">
        <v>1</v>
      </c>
      <c r="H204">
        <v>5</v>
      </c>
      <c r="I204">
        <v>607084.92000000004</v>
      </c>
      <c r="J204">
        <f t="shared" si="9"/>
        <v>652020.50152030005</v>
      </c>
      <c r="K204">
        <f t="shared" si="10"/>
        <v>-44935.581520300009</v>
      </c>
      <c r="L204">
        <f t="shared" si="11"/>
        <v>2019206486.5675278</v>
      </c>
    </row>
    <row r="205" spans="1:12">
      <c r="A205">
        <v>64104.28</v>
      </c>
      <c r="B205">
        <v>6015</v>
      </c>
      <c r="C205">
        <v>0.127</v>
      </c>
      <c r="D205">
        <v>15</v>
      </c>
      <c r="E205">
        <v>88.7</v>
      </c>
      <c r="F205">
        <v>0.78</v>
      </c>
      <c r="G205">
        <v>0</v>
      </c>
      <c r="H205">
        <v>4</v>
      </c>
      <c r="I205">
        <v>650795.49</v>
      </c>
      <c r="J205">
        <f t="shared" si="9"/>
        <v>680314.00641079992</v>
      </c>
      <c r="K205">
        <f t="shared" si="10"/>
        <v>-29518.51641079993</v>
      </c>
      <c r="L205">
        <f t="shared" si="11"/>
        <v>871342811.09466481</v>
      </c>
    </row>
    <row r="206" spans="1:12">
      <c r="A206">
        <v>92090.14</v>
      </c>
      <c r="B206">
        <v>9476</v>
      </c>
      <c r="C206">
        <v>7.0000000000000007E-2</v>
      </c>
      <c r="D206">
        <v>24</v>
      </c>
      <c r="E206">
        <v>94.3</v>
      </c>
      <c r="F206">
        <v>0.87</v>
      </c>
      <c r="G206">
        <v>0</v>
      </c>
      <c r="H206">
        <v>3.7</v>
      </c>
      <c r="I206">
        <v>825060.52</v>
      </c>
      <c r="J206">
        <f t="shared" si="9"/>
        <v>855127.35388539988</v>
      </c>
      <c r="K206">
        <f t="shared" si="10"/>
        <v>-30066.833885399858</v>
      </c>
      <c r="L206">
        <f t="shared" si="11"/>
        <v>904014499.89222908</v>
      </c>
    </row>
    <row r="207" spans="1:12">
      <c r="A207">
        <v>54300.87</v>
      </c>
      <c r="B207">
        <v>7875</v>
      </c>
      <c r="C207">
        <v>0.107</v>
      </c>
      <c r="D207">
        <v>19</v>
      </c>
      <c r="E207">
        <v>94.1</v>
      </c>
      <c r="F207">
        <v>0.95</v>
      </c>
      <c r="G207">
        <v>0</v>
      </c>
      <c r="H207">
        <v>3.7</v>
      </c>
      <c r="I207">
        <v>795464.47</v>
      </c>
      <c r="J207">
        <f t="shared" si="9"/>
        <v>746806.10348070005</v>
      </c>
      <c r="K207">
        <f t="shared" si="10"/>
        <v>48658.366519299918</v>
      </c>
      <c r="L207">
        <f t="shared" si="11"/>
        <v>2367636632.3265271</v>
      </c>
    </row>
    <row r="208" spans="1:12">
      <c r="A208">
        <v>37983.35</v>
      </c>
      <c r="B208">
        <v>9283</v>
      </c>
      <c r="C208">
        <v>0.14899999999999999</v>
      </c>
      <c r="D208">
        <v>19</v>
      </c>
      <c r="E208">
        <v>83.2</v>
      </c>
      <c r="F208">
        <v>3.82</v>
      </c>
      <c r="G208">
        <v>0</v>
      </c>
      <c r="H208">
        <v>3.7</v>
      </c>
      <c r="I208">
        <v>671868.59</v>
      </c>
      <c r="J208">
        <f t="shared" si="9"/>
        <v>722777.09759350016</v>
      </c>
      <c r="K208">
        <f t="shared" si="10"/>
        <v>-50908.507593500195</v>
      </c>
      <c r="L208">
        <f t="shared" si="11"/>
        <v>2591676145.3974671</v>
      </c>
    </row>
    <row r="209" spans="1:12">
      <c r="A209">
        <v>56413.83</v>
      </c>
      <c r="B209">
        <v>8303</v>
      </c>
      <c r="C209">
        <v>0.11600000000000001</v>
      </c>
      <c r="D209">
        <v>18</v>
      </c>
      <c r="E209">
        <v>93.6</v>
      </c>
      <c r="F209">
        <v>2.7</v>
      </c>
      <c r="G209">
        <v>0</v>
      </c>
      <c r="H209">
        <v>3.7</v>
      </c>
      <c r="I209">
        <v>675917.63</v>
      </c>
      <c r="J209">
        <f t="shared" si="9"/>
        <v>750948.96098630002</v>
      </c>
      <c r="K209">
        <f t="shared" si="10"/>
        <v>-75031.330986300018</v>
      </c>
      <c r="L209">
        <f t="shared" si="11"/>
        <v>5629700629.5757055</v>
      </c>
    </row>
    <row r="210" spans="1:12">
      <c r="A210">
        <v>63457.19</v>
      </c>
      <c r="B210">
        <v>10125</v>
      </c>
      <c r="C210">
        <v>9.7000000000000003E-2</v>
      </c>
      <c r="D210">
        <v>24</v>
      </c>
      <c r="E210">
        <v>87</v>
      </c>
      <c r="F210">
        <v>3.84</v>
      </c>
      <c r="G210">
        <v>1</v>
      </c>
      <c r="H210">
        <v>3.7</v>
      </c>
      <c r="I210">
        <v>810446.53</v>
      </c>
      <c r="J210">
        <f t="shared" si="9"/>
        <v>819891.02703590004</v>
      </c>
      <c r="K210">
        <f t="shared" si="10"/>
        <v>-9444.4970359000145</v>
      </c>
      <c r="L210">
        <f t="shared" si="11"/>
        <v>89198524.261124164</v>
      </c>
    </row>
    <row r="211" spans="1:12">
      <c r="A211">
        <v>62949.7</v>
      </c>
      <c r="B211">
        <v>9458</v>
      </c>
      <c r="C211">
        <v>0.17100000000000001</v>
      </c>
      <c r="D211">
        <v>19</v>
      </c>
      <c r="E211">
        <v>84.9</v>
      </c>
      <c r="F211">
        <v>5.09</v>
      </c>
      <c r="G211">
        <v>0</v>
      </c>
      <c r="H211">
        <v>3.3</v>
      </c>
      <c r="I211">
        <v>691288.19</v>
      </c>
      <c r="J211">
        <f t="shared" si="9"/>
        <v>752904.10481699998</v>
      </c>
      <c r="K211">
        <f t="shared" si="10"/>
        <v>-61615.914817000041</v>
      </c>
      <c r="L211">
        <f t="shared" si="11"/>
        <v>3796520958.735805</v>
      </c>
    </row>
    <row r="212" spans="1:12">
      <c r="A212">
        <v>107970.19</v>
      </c>
      <c r="B212">
        <v>12870</v>
      </c>
      <c r="C212">
        <v>2.9000000000000001E-2</v>
      </c>
      <c r="D212">
        <v>31</v>
      </c>
      <c r="E212">
        <v>91.7</v>
      </c>
      <c r="F212">
        <v>3.82</v>
      </c>
      <c r="G212">
        <v>1</v>
      </c>
      <c r="H212">
        <v>3.7</v>
      </c>
      <c r="I212">
        <v>946833.54</v>
      </c>
      <c r="J212">
        <f t="shared" si="9"/>
        <v>989735.44596589997</v>
      </c>
      <c r="K212">
        <f t="shared" si="10"/>
        <v>-42901.905965899932</v>
      </c>
      <c r="L212">
        <f t="shared" si="11"/>
        <v>1840573535.5069201</v>
      </c>
    </row>
    <row r="213" spans="1:12">
      <c r="A213">
        <v>49405.75</v>
      </c>
      <c r="B213">
        <v>9752</v>
      </c>
      <c r="C213">
        <v>9.2999999999999999E-2</v>
      </c>
      <c r="D213">
        <v>21</v>
      </c>
      <c r="E213">
        <v>87</v>
      </c>
      <c r="F213">
        <v>12.28</v>
      </c>
      <c r="G213">
        <v>0</v>
      </c>
      <c r="H213">
        <v>4.0999999999999996</v>
      </c>
      <c r="I213">
        <v>761963.23</v>
      </c>
      <c r="J213">
        <f t="shared" si="9"/>
        <v>750672.80525750003</v>
      </c>
      <c r="K213">
        <f t="shared" si="10"/>
        <v>11290.424742499948</v>
      </c>
      <c r="L213">
        <f t="shared" si="11"/>
        <v>127473690.86605503</v>
      </c>
    </row>
    <row r="214" spans="1:12">
      <c r="A214">
        <v>50887.46</v>
      </c>
      <c r="B214">
        <v>9505</v>
      </c>
      <c r="C214">
        <v>9.0999999999999998E-2</v>
      </c>
      <c r="D214">
        <v>25</v>
      </c>
      <c r="E214">
        <v>89.7</v>
      </c>
      <c r="F214">
        <v>2.8</v>
      </c>
      <c r="G214">
        <v>0</v>
      </c>
      <c r="H214">
        <v>4.3</v>
      </c>
      <c r="I214">
        <v>812152.6</v>
      </c>
      <c r="J214">
        <f t="shared" si="9"/>
        <v>795586.20045059989</v>
      </c>
      <c r="K214">
        <f t="shared" si="10"/>
        <v>16566.399549400085</v>
      </c>
      <c r="L214">
        <f t="shared" si="11"/>
        <v>274445594.03036332</v>
      </c>
    </row>
    <row r="215" spans="1:12">
      <c r="A215">
        <v>41819.449999999997</v>
      </c>
      <c r="B215">
        <v>9412</v>
      </c>
      <c r="C215">
        <v>0.15</v>
      </c>
      <c r="D215">
        <v>22</v>
      </c>
      <c r="E215">
        <v>91</v>
      </c>
      <c r="F215">
        <v>3.67</v>
      </c>
      <c r="G215">
        <v>0</v>
      </c>
      <c r="H215">
        <v>4.2</v>
      </c>
      <c r="I215">
        <v>804975.5</v>
      </c>
      <c r="J215">
        <f t="shared" si="9"/>
        <v>769066.29011449998</v>
      </c>
      <c r="K215">
        <f t="shared" si="10"/>
        <v>35909.209885500022</v>
      </c>
      <c r="L215">
        <f t="shared" si="11"/>
        <v>1289471354.6008925</v>
      </c>
    </row>
    <row r="216" spans="1:12">
      <c r="A216">
        <v>35296.54</v>
      </c>
      <c r="B216">
        <v>9644</v>
      </c>
      <c r="C216">
        <v>0</v>
      </c>
      <c r="D216">
        <v>22</v>
      </c>
      <c r="E216">
        <v>88</v>
      </c>
      <c r="F216">
        <v>2.81</v>
      </c>
      <c r="G216">
        <v>0</v>
      </c>
      <c r="H216">
        <v>4.7</v>
      </c>
      <c r="I216">
        <v>752321.72</v>
      </c>
      <c r="J216">
        <f t="shared" si="9"/>
        <v>777345.55078939989</v>
      </c>
      <c r="K216">
        <f t="shared" si="10"/>
        <v>-25023.830789399915</v>
      </c>
      <c r="L216">
        <f t="shared" si="11"/>
        <v>626192107.3765192</v>
      </c>
    </row>
    <row r="217" spans="1:12">
      <c r="A217">
        <v>47391.09</v>
      </c>
      <c r="B217">
        <v>11224</v>
      </c>
      <c r="C217">
        <v>0.14699999999999999</v>
      </c>
      <c r="D217">
        <v>25</v>
      </c>
      <c r="E217">
        <v>88.4</v>
      </c>
      <c r="F217">
        <v>2.44</v>
      </c>
      <c r="G217">
        <v>0</v>
      </c>
      <c r="H217">
        <v>4.9000000000000004</v>
      </c>
      <c r="I217">
        <v>836908.24</v>
      </c>
      <c r="J217">
        <f t="shared" si="9"/>
        <v>838705.74221489998</v>
      </c>
      <c r="K217">
        <f t="shared" si="10"/>
        <v>-1797.5022148999851</v>
      </c>
      <c r="L217">
        <f t="shared" si="11"/>
        <v>3231014.2125703525</v>
      </c>
    </row>
    <row r="218" spans="1:12">
      <c r="A218">
        <v>69180.539999999994</v>
      </c>
      <c r="B218">
        <v>5394</v>
      </c>
      <c r="C218">
        <v>0.126</v>
      </c>
      <c r="D218">
        <v>12</v>
      </c>
      <c r="E218">
        <v>82.9</v>
      </c>
      <c r="F218">
        <v>3.27</v>
      </c>
      <c r="G218">
        <v>0</v>
      </c>
      <c r="H218">
        <v>3.3</v>
      </c>
      <c r="I218">
        <v>674289.1</v>
      </c>
      <c r="J218">
        <f t="shared" si="9"/>
        <v>628014.07302939997</v>
      </c>
      <c r="K218">
        <f t="shared" si="10"/>
        <v>46275.026970600011</v>
      </c>
      <c r="L218">
        <f t="shared" si="11"/>
        <v>2141378121.1297584</v>
      </c>
    </row>
    <row r="219" spans="1:12">
      <c r="A219">
        <v>33987.33</v>
      </c>
      <c r="B219">
        <v>5014</v>
      </c>
      <c r="C219">
        <v>0.246</v>
      </c>
      <c r="D219">
        <v>17</v>
      </c>
      <c r="E219">
        <v>94.3</v>
      </c>
      <c r="F219">
        <v>10.34</v>
      </c>
      <c r="G219">
        <v>0</v>
      </c>
      <c r="H219">
        <v>3.9</v>
      </c>
      <c r="I219">
        <v>622892.42000000004</v>
      </c>
      <c r="J219">
        <f t="shared" si="9"/>
        <v>602375.75932129996</v>
      </c>
      <c r="K219">
        <f t="shared" si="10"/>
        <v>20516.660678700078</v>
      </c>
      <c r="L219">
        <f t="shared" si="11"/>
        <v>420933365.40491796</v>
      </c>
    </row>
    <row r="220" spans="1:12">
      <c r="A220">
        <v>58785.33</v>
      </c>
      <c r="B220">
        <v>4467</v>
      </c>
      <c r="C220">
        <v>0.22900000000000001</v>
      </c>
      <c r="D220">
        <v>14</v>
      </c>
      <c r="E220">
        <v>90.7</v>
      </c>
      <c r="F220">
        <v>1.92</v>
      </c>
      <c r="G220">
        <v>0</v>
      </c>
      <c r="H220">
        <v>3.7</v>
      </c>
      <c r="I220">
        <v>673348.56</v>
      </c>
      <c r="J220">
        <f t="shared" si="9"/>
        <v>619998.8001013</v>
      </c>
      <c r="K220">
        <f t="shared" si="10"/>
        <v>53349.759898700053</v>
      </c>
      <c r="L220">
        <f t="shared" si="11"/>
        <v>2846196881.2489443</v>
      </c>
    </row>
    <row r="221" spans="1:12">
      <c r="A221">
        <v>16451.849999999999</v>
      </c>
      <c r="B221">
        <v>4678</v>
      </c>
      <c r="C221">
        <v>0.13300000000000001</v>
      </c>
      <c r="D221">
        <v>11</v>
      </c>
      <c r="E221">
        <v>95.9</v>
      </c>
      <c r="F221">
        <v>3.1</v>
      </c>
      <c r="G221">
        <v>0</v>
      </c>
      <c r="H221">
        <v>3.9</v>
      </c>
      <c r="I221">
        <v>606278.30000000005</v>
      </c>
      <c r="J221">
        <f t="shared" si="9"/>
        <v>587576.25287850003</v>
      </c>
      <c r="K221">
        <f t="shared" si="10"/>
        <v>18702.047121500014</v>
      </c>
      <c r="L221">
        <f t="shared" si="11"/>
        <v>349766566.53480697</v>
      </c>
    </row>
    <row r="222" spans="1:12">
      <c r="A222">
        <v>53367.73</v>
      </c>
      <c r="B222">
        <v>7291</v>
      </c>
      <c r="C222">
        <v>0.14599999999999999</v>
      </c>
      <c r="D222">
        <v>18</v>
      </c>
      <c r="E222">
        <v>90.6</v>
      </c>
      <c r="F222">
        <v>6.34</v>
      </c>
      <c r="G222">
        <v>1</v>
      </c>
      <c r="H222">
        <v>3.8</v>
      </c>
      <c r="I222">
        <v>712219.81</v>
      </c>
      <c r="J222">
        <f t="shared" si="9"/>
        <v>711521.29036529991</v>
      </c>
      <c r="K222">
        <f t="shared" si="10"/>
        <v>698.51963470014744</v>
      </c>
      <c r="L222">
        <f t="shared" si="11"/>
        <v>487929.68006162741</v>
      </c>
    </row>
    <row r="223" spans="1:12">
      <c r="A223">
        <v>27194.639999999999</v>
      </c>
      <c r="B223">
        <v>7404</v>
      </c>
      <c r="C223">
        <v>8.7999999999999995E-2</v>
      </c>
      <c r="D223">
        <v>18</v>
      </c>
      <c r="E223">
        <v>90.2</v>
      </c>
      <c r="F223">
        <v>1.2</v>
      </c>
      <c r="G223">
        <v>0</v>
      </c>
      <c r="H223">
        <v>3.4</v>
      </c>
      <c r="I223">
        <v>672670.54</v>
      </c>
      <c r="J223">
        <f t="shared" si="9"/>
        <v>684322.31913039996</v>
      </c>
      <c r="K223">
        <f t="shared" si="10"/>
        <v>-11651.779130399926</v>
      </c>
      <c r="L223">
        <f t="shared" si="11"/>
        <v>135763956.90362325</v>
      </c>
    </row>
    <row r="224" spans="1:12">
      <c r="A224">
        <v>66962.740000000005</v>
      </c>
      <c r="B224">
        <v>7880</v>
      </c>
      <c r="C224">
        <v>0.11600000000000001</v>
      </c>
      <c r="D224">
        <v>19</v>
      </c>
      <c r="E224">
        <v>90.4</v>
      </c>
      <c r="F224">
        <v>4.5</v>
      </c>
      <c r="G224">
        <v>0</v>
      </c>
      <c r="H224">
        <v>3.3</v>
      </c>
      <c r="I224">
        <v>732667.92</v>
      </c>
      <c r="J224">
        <f t="shared" si="9"/>
        <v>735814.22417140007</v>
      </c>
      <c r="K224">
        <f t="shared" si="10"/>
        <v>-3146.3041714000283</v>
      </c>
      <c r="L224">
        <f t="shared" si="11"/>
        <v>9899229.9389692191</v>
      </c>
    </row>
    <row r="225" spans="1:12">
      <c r="A225">
        <v>73540.990000000005</v>
      </c>
      <c r="B225">
        <v>8773</v>
      </c>
      <c r="C225">
        <v>3.5000000000000003E-2</v>
      </c>
      <c r="D225">
        <v>21</v>
      </c>
      <c r="E225">
        <v>84.4</v>
      </c>
      <c r="F225">
        <v>6.68</v>
      </c>
      <c r="G225">
        <v>0</v>
      </c>
      <c r="H225">
        <v>3.6</v>
      </c>
      <c r="I225">
        <v>723531.4</v>
      </c>
      <c r="J225">
        <f t="shared" si="9"/>
        <v>759392.63315390004</v>
      </c>
      <c r="K225">
        <f t="shared" si="10"/>
        <v>-35861.233153900015</v>
      </c>
      <c r="L225">
        <f t="shared" si="11"/>
        <v>1286028043.3183777</v>
      </c>
    </row>
    <row r="226" spans="1:12">
      <c r="A226">
        <v>68212.289999999994</v>
      </c>
      <c r="B226">
        <v>4713</v>
      </c>
      <c r="C226">
        <v>0.19800000000000001</v>
      </c>
      <c r="D226">
        <v>15</v>
      </c>
      <c r="E226">
        <v>82.6</v>
      </c>
      <c r="F226">
        <v>4.07</v>
      </c>
      <c r="G226">
        <v>1</v>
      </c>
      <c r="H226">
        <v>3</v>
      </c>
      <c r="I226">
        <v>641564.6</v>
      </c>
      <c r="J226">
        <f t="shared" si="9"/>
        <v>618600.6751469</v>
      </c>
      <c r="K226">
        <f t="shared" si="10"/>
        <v>22963.924853099976</v>
      </c>
      <c r="L226">
        <f t="shared" si="11"/>
        <v>527341844.65882272</v>
      </c>
    </row>
    <row r="227" spans="1:12">
      <c r="A227">
        <v>57225.98</v>
      </c>
      <c r="B227">
        <v>2842</v>
      </c>
      <c r="C227">
        <v>0.112</v>
      </c>
      <c r="D227">
        <v>10</v>
      </c>
      <c r="E227">
        <v>79.5</v>
      </c>
      <c r="F227">
        <v>5.45</v>
      </c>
      <c r="G227">
        <v>0</v>
      </c>
      <c r="H227">
        <v>3.4</v>
      </c>
      <c r="I227">
        <v>536545.49</v>
      </c>
      <c r="J227">
        <f t="shared" si="9"/>
        <v>522167.31114779995</v>
      </c>
      <c r="K227">
        <f t="shared" si="10"/>
        <v>14378.178852200042</v>
      </c>
      <c r="L227">
        <f t="shared" si="11"/>
        <v>206732027.10585254</v>
      </c>
    </row>
    <row r="228" spans="1:12">
      <c r="A228">
        <v>42932.02</v>
      </c>
      <c r="B228">
        <v>3872</v>
      </c>
      <c r="C228">
        <v>0.17100000000000001</v>
      </c>
      <c r="D228">
        <v>12</v>
      </c>
      <c r="E228">
        <v>83.2</v>
      </c>
      <c r="F228">
        <v>15.58</v>
      </c>
      <c r="G228">
        <v>0</v>
      </c>
      <c r="H228">
        <v>3.3</v>
      </c>
      <c r="I228">
        <v>527681.56000000006</v>
      </c>
      <c r="J228">
        <f t="shared" si="9"/>
        <v>516567.53623219999</v>
      </c>
      <c r="K228">
        <f t="shared" si="10"/>
        <v>11114.02376780007</v>
      </c>
      <c r="L228">
        <f t="shared" si="11"/>
        <v>123521524.31122488</v>
      </c>
    </row>
    <row r="229" spans="1:12">
      <c r="A229">
        <v>39341.449999999997</v>
      </c>
      <c r="B229">
        <v>1375</v>
      </c>
      <c r="C229">
        <v>9.2999999999999999E-2</v>
      </c>
      <c r="D229">
        <v>5</v>
      </c>
      <c r="E229">
        <v>95</v>
      </c>
      <c r="F229">
        <v>5.32</v>
      </c>
      <c r="G229">
        <v>0</v>
      </c>
      <c r="H229">
        <f>3.924</f>
        <v>3.9239999999999999</v>
      </c>
      <c r="I229">
        <v>529598.93999999994</v>
      </c>
      <c r="J229">
        <f t="shared" si="9"/>
        <v>498222.79013449996</v>
      </c>
      <c r="K229">
        <f t="shared" si="10"/>
        <v>31376.149865499989</v>
      </c>
      <c r="L229">
        <f t="shared" si="11"/>
        <v>984462780.38231492</v>
      </c>
    </row>
    <row r="230" spans="1:12">
      <c r="A230">
        <v>37324.230000000003</v>
      </c>
      <c r="B230">
        <v>5957</v>
      </c>
      <c r="C230">
        <v>7.0999999999999994E-2</v>
      </c>
      <c r="D230">
        <v>12</v>
      </c>
      <c r="E230">
        <v>85.9</v>
      </c>
      <c r="F230">
        <v>0.37</v>
      </c>
      <c r="G230">
        <v>0</v>
      </c>
      <c r="H230">
        <v>3.8</v>
      </c>
      <c r="I230">
        <v>570963.31000000006</v>
      </c>
      <c r="J230">
        <f t="shared" si="9"/>
        <v>632461.09733030002</v>
      </c>
      <c r="K230">
        <f t="shared" si="10"/>
        <v>-61497.787330299965</v>
      </c>
      <c r="L230">
        <f t="shared" si="11"/>
        <v>3781977846.5228028</v>
      </c>
    </row>
    <row r="231" spans="1:12">
      <c r="A231">
        <v>113736</v>
      </c>
      <c r="B231">
        <v>8961</v>
      </c>
      <c r="C231">
        <v>0.20200000000000001</v>
      </c>
      <c r="D231">
        <v>24</v>
      </c>
      <c r="E231">
        <v>86.2</v>
      </c>
      <c r="F231">
        <v>21.63</v>
      </c>
      <c r="G231">
        <v>0</v>
      </c>
      <c r="H231">
        <v>4</v>
      </c>
      <c r="I231">
        <v>870937.4</v>
      </c>
      <c r="J231">
        <f t="shared" si="9"/>
        <v>775842.61296000006</v>
      </c>
      <c r="K231">
        <f t="shared" si="10"/>
        <v>95094.787039999967</v>
      </c>
      <c r="L231">
        <f t="shared" si="11"/>
        <v>9043018522.1829453</v>
      </c>
    </row>
    <row r="232" spans="1:12">
      <c r="A232">
        <v>33173.949999999997</v>
      </c>
      <c r="B232">
        <v>6545</v>
      </c>
      <c r="C232">
        <v>0.16900000000000001</v>
      </c>
      <c r="D232">
        <v>15</v>
      </c>
      <c r="E232">
        <v>84.4</v>
      </c>
      <c r="F232">
        <v>2.48</v>
      </c>
      <c r="G232">
        <v>0</v>
      </c>
      <c r="H232">
        <v>3.9</v>
      </c>
      <c r="I232">
        <v>596969.27</v>
      </c>
      <c r="J232">
        <f t="shared" si="9"/>
        <v>636568.30485950003</v>
      </c>
      <c r="K232">
        <f t="shared" si="10"/>
        <v>-39599.03485950001</v>
      </c>
      <c r="L232">
        <f t="shared" si="11"/>
        <v>1568083561.8038969</v>
      </c>
    </row>
    <row r="233" spans="1:12">
      <c r="A233">
        <v>25818.080000000002</v>
      </c>
      <c r="B233">
        <v>5457</v>
      </c>
      <c r="C233">
        <v>0</v>
      </c>
      <c r="D233">
        <v>11</v>
      </c>
      <c r="E233">
        <v>95.4</v>
      </c>
      <c r="F233">
        <f>K71</f>
        <v>-30930.16245449998</v>
      </c>
      <c r="G233">
        <v>0</v>
      </c>
      <c r="H233">
        <v>3.7</v>
      </c>
      <c r="I233">
        <v>647512.85</v>
      </c>
      <c r="J233">
        <f t="shared" si="9"/>
        <v>90029705.597824648</v>
      </c>
      <c r="K233">
        <f t="shared" si="10"/>
        <v>-89382192.747824654</v>
      </c>
      <c r="L233">
        <f t="shared" si="11"/>
        <v>7989176380409278</v>
      </c>
    </row>
    <row r="234" spans="1:12">
      <c r="A234">
        <v>47241.919999999998</v>
      </c>
      <c r="B234">
        <v>4264</v>
      </c>
      <c r="C234">
        <v>6.9000000000000006E-2</v>
      </c>
      <c r="D234">
        <v>13</v>
      </c>
      <c r="E234">
        <v>95.3</v>
      </c>
      <c r="F234">
        <v>0.85</v>
      </c>
      <c r="G234">
        <v>0</v>
      </c>
      <c r="H234">
        <v>4.3</v>
      </c>
      <c r="I234">
        <v>658072.14</v>
      </c>
      <c r="J234">
        <f t="shared" si="9"/>
        <v>632213.65577119996</v>
      </c>
      <c r="K234">
        <f t="shared" si="10"/>
        <v>25858.484228800051</v>
      </c>
      <c r="L234">
        <f t="shared" si="11"/>
        <v>668661206.61110091</v>
      </c>
    </row>
    <row r="235" spans="1:12">
      <c r="A235">
        <v>61650.79</v>
      </c>
      <c r="B235">
        <v>5321</v>
      </c>
      <c r="C235">
        <v>0.126</v>
      </c>
      <c r="D235">
        <v>17</v>
      </c>
      <c r="E235">
        <v>89.2</v>
      </c>
      <c r="F235">
        <v>2.13</v>
      </c>
      <c r="G235">
        <v>0</v>
      </c>
      <c r="H235">
        <v>4</v>
      </c>
      <c r="I235">
        <v>723305.11</v>
      </c>
      <c r="J235">
        <f t="shared" si="9"/>
        <v>661904.82913189987</v>
      </c>
      <c r="K235">
        <f t="shared" si="10"/>
        <v>61400.280868100119</v>
      </c>
      <c r="L235">
        <f t="shared" si="11"/>
        <v>3769994490.6815815</v>
      </c>
    </row>
    <row r="236" spans="1:12">
      <c r="A236">
        <v>62582.71</v>
      </c>
      <c r="B236">
        <v>5479</v>
      </c>
      <c r="C236">
        <v>4.8000000000000001E-2</v>
      </c>
      <c r="D236">
        <v>16</v>
      </c>
      <c r="E236">
        <v>81.2</v>
      </c>
      <c r="F236">
        <v>1.46</v>
      </c>
      <c r="G236">
        <v>0</v>
      </c>
      <c r="H236">
        <v>4.5</v>
      </c>
      <c r="I236">
        <v>640666.53</v>
      </c>
      <c r="J236">
        <f t="shared" si="9"/>
        <v>653189.90680310002</v>
      </c>
      <c r="K236">
        <f t="shared" si="10"/>
        <v>-12523.376803099993</v>
      </c>
      <c r="L236">
        <f t="shared" si="11"/>
        <v>156834966.552423</v>
      </c>
    </row>
    <row r="237" spans="1:12">
      <c r="A237">
        <v>47944.14</v>
      </c>
      <c r="B237">
        <v>6169</v>
      </c>
      <c r="C237">
        <v>0.11899999999999999</v>
      </c>
      <c r="D237">
        <v>17</v>
      </c>
      <c r="E237">
        <v>92.2</v>
      </c>
      <c r="F237">
        <v>3.02</v>
      </c>
      <c r="G237">
        <v>0</v>
      </c>
      <c r="H237">
        <v>4.0999999999999996</v>
      </c>
      <c r="I237">
        <v>670629.48</v>
      </c>
      <c r="J237">
        <f t="shared" si="9"/>
        <v>677221.48782540008</v>
      </c>
      <c r="K237">
        <f t="shared" si="10"/>
        <v>-6592.0078254000982</v>
      </c>
      <c r="L237">
        <f t="shared" si="11"/>
        <v>43454567.170136131</v>
      </c>
    </row>
    <row r="238" spans="1:12">
      <c r="A238">
        <v>46495.4</v>
      </c>
      <c r="B238">
        <v>9908</v>
      </c>
      <c r="C238">
        <v>0.121</v>
      </c>
      <c r="D238">
        <v>22</v>
      </c>
      <c r="E238">
        <v>89.4</v>
      </c>
      <c r="F238">
        <v>3.22</v>
      </c>
      <c r="G238">
        <v>0</v>
      </c>
      <c r="H238">
        <v>3.7</v>
      </c>
      <c r="I238">
        <v>721079.35</v>
      </c>
      <c r="J238">
        <f t="shared" si="9"/>
        <v>781819.38119400013</v>
      </c>
      <c r="K238">
        <f t="shared" si="10"/>
        <v>-60740.031194000156</v>
      </c>
      <c r="L238">
        <f t="shared" si="11"/>
        <v>3689351389.448112</v>
      </c>
    </row>
    <row r="239" spans="1:12">
      <c r="A239">
        <v>72961.95</v>
      </c>
      <c r="B239">
        <v>9996</v>
      </c>
      <c r="C239">
        <v>0.106</v>
      </c>
      <c r="D239">
        <v>22</v>
      </c>
      <c r="E239">
        <v>89.1</v>
      </c>
      <c r="F239">
        <v>15.66</v>
      </c>
      <c r="G239">
        <v>0</v>
      </c>
      <c r="H239">
        <v>3.4</v>
      </c>
      <c r="I239">
        <v>810355.02</v>
      </c>
      <c r="J239">
        <f t="shared" si="9"/>
        <v>776750.36453949998</v>
      </c>
      <c r="K239">
        <f t="shared" si="10"/>
        <v>33604.655460500042</v>
      </c>
      <c r="L239">
        <f t="shared" si="11"/>
        <v>1129272868.6189153</v>
      </c>
    </row>
    <row r="240" spans="1:12">
      <c r="A240">
        <v>59060.05</v>
      </c>
      <c r="B240">
        <v>9702</v>
      </c>
      <c r="C240">
        <v>0.20100000000000001</v>
      </c>
      <c r="D240">
        <v>23</v>
      </c>
      <c r="E240">
        <v>80.900000000000006</v>
      </c>
      <c r="F240">
        <v>6.96</v>
      </c>
      <c r="G240">
        <v>0</v>
      </c>
      <c r="H240">
        <v>3.2</v>
      </c>
      <c r="I240">
        <v>761919.25</v>
      </c>
      <c r="J240">
        <f t="shared" si="9"/>
        <v>746857.7248805</v>
      </c>
      <c r="K240">
        <f t="shared" si="10"/>
        <v>15061.525119500002</v>
      </c>
      <c r="L240">
        <f t="shared" si="11"/>
        <v>226849538.92532954</v>
      </c>
    </row>
    <row r="241" spans="1:12">
      <c r="A241">
        <v>26248.1</v>
      </c>
      <c r="B241">
        <v>9314</v>
      </c>
      <c r="C241">
        <v>0.186</v>
      </c>
      <c r="D241">
        <v>21</v>
      </c>
      <c r="E241">
        <v>83.7</v>
      </c>
      <c r="F241">
        <v>4.62</v>
      </c>
      <c r="G241">
        <v>0</v>
      </c>
      <c r="H241">
        <v>3.3</v>
      </c>
      <c r="I241">
        <v>737070.18</v>
      </c>
      <c r="J241">
        <f t="shared" si="9"/>
        <v>708236.5968409999</v>
      </c>
      <c r="K241">
        <f t="shared" si="10"/>
        <v>28833.583159000147</v>
      </c>
      <c r="L241">
        <f t="shared" si="11"/>
        <v>831375517.78697693</v>
      </c>
    </row>
    <row r="242" spans="1:12">
      <c r="A242">
        <v>69900.12</v>
      </c>
      <c r="B242">
        <v>8055</v>
      </c>
      <c r="C242">
        <v>0.28100000000000003</v>
      </c>
      <c r="D242">
        <v>22</v>
      </c>
      <c r="E242">
        <v>85.6</v>
      </c>
      <c r="F242">
        <v>10.68</v>
      </c>
      <c r="G242">
        <v>1</v>
      </c>
      <c r="H242">
        <v>2.9</v>
      </c>
      <c r="I242">
        <v>776992.93</v>
      </c>
      <c r="J242">
        <f t="shared" si="9"/>
        <v>718127.69127320009</v>
      </c>
      <c r="K242">
        <f t="shared" si="10"/>
        <v>58865.238726799958</v>
      </c>
      <c r="L242">
        <f t="shared" si="11"/>
        <v>3465116330.3631496</v>
      </c>
    </row>
    <row r="243" spans="1:12">
      <c r="A243">
        <v>51781.599999999999</v>
      </c>
      <c r="B243">
        <v>5648</v>
      </c>
      <c r="C243">
        <v>5.8999999999999997E-2</v>
      </c>
      <c r="D243">
        <v>13</v>
      </c>
      <c r="E243">
        <v>85.5</v>
      </c>
      <c r="F243">
        <v>4.04</v>
      </c>
      <c r="G243">
        <v>0</v>
      </c>
      <c r="H243">
        <v>3.7</v>
      </c>
      <c r="I243">
        <v>676337.41</v>
      </c>
      <c r="J243">
        <f t="shared" si="9"/>
        <v>632096.92577600002</v>
      </c>
      <c r="K243">
        <f t="shared" si="10"/>
        <v>44240.484224000014</v>
      </c>
      <c r="L243">
        <f t="shared" si="11"/>
        <v>1957220444.3739941</v>
      </c>
    </row>
    <row r="244" spans="1:12">
      <c r="A244">
        <v>70799.64</v>
      </c>
      <c r="B244">
        <v>10076</v>
      </c>
      <c r="C244">
        <v>0.152</v>
      </c>
      <c r="D244">
        <v>24</v>
      </c>
      <c r="E244">
        <v>84.8</v>
      </c>
      <c r="F244">
        <v>1.87</v>
      </c>
      <c r="G244">
        <v>0</v>
      </c>
      <c r="H244">
        <v>3.5</v>
      </c>
      <c r="I244">
        <v>828219.67</v>
      </c>
      <c r="J244">
        <f t="shared" si="9"/>
        <v>807311.94518039993</v>
      </c>
      <c r="K244">
        <f t="shared" si="10"/>
        <v>20907.724819600116</v>
      </c>
      <c r="L244">
        <f t="shared" si="11"/>
        <v>437132957.1321227</v>
      </c>
    </row>
    <row r="245" spans="1:12">
      <c r="A245">
        <v>53546.34</v>
      </c>
      <c r="B245">
        <v>8004</v>
      </c>
      <c r="C245">
        <v>0</v>
      </c>
      <c r="D245">
        <v>21</v>
      </c>
      <c r="E245">
        <v>95.2</v>
      </c>
      <c r="F245">
        <v>2.83</v>
      </c>
      <c r="G245">
        <v>0</v>
      </c>
      <c r="H245">
        <v>3</v>
      </c>
      <c r="I245">
        <v>763159.92</v>
      </c>
      <c r="J245">
        <f t="shared" si="9"/>
        <v>753939.23816740001</v>
      </c>
      <c r="K245">
        <f t="shared" si="10"/>
        <v>9220.6818326000357</v>
      </c>
      <c r="L245">
        <f t="shared" si="11"/>
        <v>85020973.458040357</v>
      </c>
    </row>
    <row r="246" spans="1:12">
      <c r="A246">
        <v>76942.2</v>
      </c>
      <c r="B246">
        <v>8934</v>
      </c>
      <c r="C246">
        <v>8.4000000000000005E-2</v>
      </c>
      <c r="D246">
        <v>20</v>
      </c>
      <c r="E246">
        <v>91</v>
      </c>
      <c r="F246">
        <v>0.95</v>
      </c>
      <c r="G246">
        <v>0</v>
      </c>
      <c r="H246">
        <v>3.2</v>
      </c>
      <c r="I246">
        <v>802001.68</v>
      </c>
      <c r="J246">
        <f t="shared" si="9"/>
        <v>793410.06574200001</v>
      </c>
      <c r="K246">
        <f t="shared" si="10"/>
        <v>8591.6142580000451</v>
      </c>
      <c r="L246">
        <f t="shared" si="11"/>
        <v>73815835.558269665</v>
      </c>
    </row>
    <row r="247" spans="1:12">
      <c r="A247">
        <v>48060.78</v>
      </c>
      <c r="B247">
        <v>8733</v>
      </c>
      <c r="C247">
        <v>0</v>
      </c>
      <c r="D247">
        <v>20</v>
      </c>
      <c r="E247">
        <v>89.9</v>
      </c>
      <c r="F247">
        <v>0.8</v>
      </c>
      <c r="G247">
        <v>0</v>
      </c>
      <c r="H247">
        <v>3.4</v>
      </c>
      <c r="I247">
        <v>750471.34</v>
      </c>
      <c r="J247">
        <f t="shared" si="9"/>
        <v>758857.12237579993</v>
      </c>
      <c r="K247">
        <f t="shared" si="10"/>
        <v>-8385.7823757999577</v>
      </c>
      <c r="L247">
        <f t="shared" si="11"/>
        <v>70321346.054277182</v>
      </c>
    </row>
    <row r="248" spans="1:12">
      <c r="A248">
        <v>57390.04</v>
      </c>
      <c r="B248">
        <v>7374</v>
      </c>
      <c r="C248">
        <v>0.21</v>
      </c>
      <c r="D248">
        <v>21</v>
      </c>
      <c r="E248">
        <v>91.8</v>
      </c>
      <c r="F248">
        <v>0.2</v>
      </c>
      <c r="G248">
        <v>0</v>
      </c>
      <c r="H248">
        <v>3.1</v>
      </c>
      <c r="I248">
        <v>679230.86</v>
      </c>
      <c r="J248">
        <f t="shared" si="9"/>
        <v>724285.3013244</v>
      </c>
      <c r="K248">
        <f t="shared" si="10"/>
        <v>-45054.441324400017</v>
      </c>
      <c r="L248">
        <f t="shared" si="11"/>
        <v>2029902683.0538039</v>
      </c>
    </row>
    <row r="249" spans="1:12">
      <c r="A249">
        <v>21536.18</v>
      </c>
      <c r="B249">
        <v>8119</v>
      </c>
      <c r="C249">
        <v>0.22700000000000001</v>
      </c>
      <c r="D249">
        <v>20</v>
      </c>
      <c r="E249">
        <v>90.4</v>
      </c>
      <c r="F249">
        <v>1.7</v>
      </c>
      <c r="G249">
        <v>0</v>
      </c>
      <c r="H249">
        <v>3.3</v>
      </c>
      <c r="I249">
        <v>679888.74</v>
      </c>
      <c r="J249">
        <f t="shared" si="9"/>
        <v>691787.42036980006</v>
      </c>
      <c r="K249">
        <f t="shared" si="10"/>
        <v>-11898.680369800073</v>
      </c>
      <c r="L249">
        <f t="shared" si="11"/>
        <v>141578594.5426656</v>
      </c>
    </row>
    <row r="250" spans="1:12">
      <c r="A250">
        <v>40923.67</v>
      </c>
      <c r="B250">
        <v>3875</v>
      </c>
      <c r="C250">
        <v>0.15</v>
      </c>
      <c r="D250">
        <v>10</v>
      </c>
      <c r="E250">
        <v>96.1</v>
      </c>
      <c r="F250">
        <f>K88</f>
        <v>27045.946184899891</v>
      </c>
      <c r="G250">
        <v>0</v>
      </c>
      <c r="H250">
        <v>3.8</v>
      </c>
      <c r="I250">
        <v>606783.67000000004</v>
      </c>
      <c r="J250">
        <f t="shared" si="9"/>
        <v>-77569769.068208963</v>
      </c>
      <c r="K250">
        <f t="shared" si="10"/>
        <v>78176552.738208964</v>
      </c>
      <c r="L250">
        <f t="shared" si="11"/>
        <v>6111573398029968</v>
      </c>
    </row>
    <row r="251" spans="1:12">
      <c r="A251">
        <v>72932.55</v>
      </c>
      <c r="B251">
        <v>5765</v>
      </c>
      <c r="C251">
        <v>2.5999999999999999E-2</v>
      </c>
      <c r="D251">
        <v>17</v>
      </c>
      <c r="E251">
        <v>81.8</v>
      </c>
      <c r="F251">
        <v>5.0999999999999996</v>
      </c>
      <c r="G251">
        <v>0</v>
      </c>
      <c r="H251">
        <v>3.6</v>
      </c>
      <c r="I251">
        <v>642751.42000000004</v>
      </c>
      <c r="J251">
        <f t="shared" si="9"/>
        <v>659981.25260550005</v>
      </c>
      <c r="K251">
        <f t="shared" si="10"/>
        <v>-17229.832605500007</v>
      </c>
      <c r="L251">
        <f t="shared" si="11"/>
        <v>296867131.61355114</v>
      </c>
    </row>
    <row r="252" spans="1:12">
      <c r="A252">
        <v>38361.93</v>
      </c>
      <c r="B252">
        <v>6322</v>
      </c>
      <c r="C252">
        <v>0.27300000000000002</v>
      </c>
      <c r="D252">
        <v>15</v>
      </c>
      <c r="E252">
        <v>88.4</v>
      </c>
      <c r="F252">
        <v>0.83</v>
      </c>
      <c r="G252">
        <v>0</v>
      </c>
      <c r="H252">
        <v>4</v>
      </c>
      <c r="I252">
        <v>647953.78</v>
      </c>
      <c r="J252">
        <f t="shared" si="9"/>
        <v>646777.82382729999</v>
      </c>
      <c r="K252">
        <f t="shared" si="10"/>
        <v>1175.95617270004</v>
      </c>
      <c r="L252">
        <f t="shared" si="11"/>
        <v>1382872.9201113265</v>
      </c>
    </row>
    <row r="253" spans="1:12">
      <c r="A253">
        <v>97480.94</v>
      </c>
      <c r="B253">
        <v>6840</v>
      </c>
      <c r="C253">
        <v>8.6999999999999994E-2</v>
      </c>
      <c r="D253">
        <v>14</v>
      </c>
      <c r="E253">
        <v>79.2</v>
      </c>
      <c r="F253">
        <v>1.1399999999999999</v>
      </c>
      <c r="G253">
        <v>0</v>
      </c>
      <c r="H253">
        <v>4</v>
      </c>
      <c r="I253">
        <v>729440.45</v>
      </c>
      <c r="J253">
        <f t="shared" si="9"/>
        <v>713229.45127339999</v>
      </c>
      <c r="K253">
        <f t="shared" si="10"/>
        <v>16210.998726599966</v>
      </c>
      <c r="L253">
        <f t="shared" si="11"/>
        <v>262796479.71382573</v>
      </c>
    </row>
    <row r="254" spans="1:12">
      <c r="A254">
        <v>81801.8</v>
      </c>
      <c r="B254">
        <v>6782</v>
      </c>
      <c r="C254">
        <v>0.05</v>
      </c>
      <c r="D254">
        <v>16</v>
      </c>
      <c r="E254">
        <v>99</v>
      </c>
      <c r="F254">
        <v>9.5399999999999991</v>
      </c>
      <c r="G254">
        <v>0</v>
      </c>
      <c r="H254">
        <v>3.7</v>
      </c>
      <c r="I254">
        <v>764949</v>
      </c>
      <c r="J254">
        <f t="shared" si="9"/>
        <v>733641.16009799996</v>
      </c>
      <c r="K254">
        <f t="shared" si="10"/>
        <v>31307.839902000036</v>
      </c>
      <c r="L254">
        <f t="shared" si="11"/>
        <v>980180839.32926559</v>
      </c>
    </row>
    <row r="255" spans="1:12">
      <c r="A255">
        <v>63582.11</v>
      </c>
      <c r="B255">
        <v>6856</v>
      </c>
      <c r="C255">
        <v>7.3999999999999996E-2</v>
      </c>
      <c r="D255">
        <v>17</v>
      </c>
      <c r="E255">
        <v>89.5</v>
      </c>
      <c r="F255">
        <v>5.48</v>
      </c>
      <c r="G255">
        <v>0</v>
      </c>
      <c r="H255">
        <v>3.2</v>
      </c>
      <c r="I255">
        <v>799046.94</v>
      </c>
      <c r="J255">
        <f t="shared" si="9"/>
        <v>693573.46443709999</v>
      </c>
      <c r="K255">
        <f t="shared" si="10"/>
        <v>105473.47556289996</v>
      </c>
      <c r="L255">
        <f t="shared" si="11"/>
        <v>11124654047.317654</v>
      </c>
    </row>
    <row r="256" spans="1:12">
      <c r="A256">
        <v>75412.740000000005</v>
      </c>
      <c r="B256">
        <v>5641</v>
      </c>
      <c r="C256">
        <v>5.8999999999999997E-2</v>
      </c>
      <c r="D256">
        <v>13</v>
      </c>
      <c r="E256">
        <v>87.9</v>
      </c>
      <c r="F256">
        <v>0.84</v>
      </c>
      <c r="G256">
        <v>0</v>
      </c>
      <c r="H256">
        <v>3.6</v>
      </c>
      <c r="I256">
        <v>720079.54</v>
      </c>
      <c r="J256">
        <f t="shared" si="9"/>
        <v>675298.87767139997</v>
      </c>
      <c r="K256">
        <f t="shared" si="10"/>
        <v>44780.662328600069</v>
      </c>
      <c r="L256">
        <f t="shared" si="11"/>
        <v>2005307718.5881014</v>
      </c>
    </row>
    <row r="257" spans="1:12">
      <c r="A257">
        <v>36290.080000000002</v>
      </c>
      <c r="B257">
        <v>5787</v>
      </c>
      <c r="C257">
        <v>0</v>
      </c>
      <c r="D257">
        <v>17</v>
      </c>
      <c r="E257">
        <v>88.3</v>
      </c>
      <c r="F257">
        <v>4.1900000000000004</v>
      </c>
      <c r="G257">
        <v>0</v>
      </c>
      <c r="H257">
        <v>4.0999999999999996</v>
      </c>
      <c r="I257">
        <v>612390.14</v>
      </c>
      <c r="J257">
        <f t="shared" si="9"/>
        <v>646302.77874879993</v>
      </c>
      <c r="K257">
        <f t="shared" si="10"/>
        <v>-33912.638748799916</v>
      </c>
      <c r="L257">
        <f t="shared" si="11"/>
        <v>1150067066.9066055</v>
      </c>
    </row>
    <row r="258" spans="1:12">
      <c r="A258">
        <v>65272.58</v>
      </c>
      <c r="B258">
        <v>8165</v>
      </c>
      <c r="C258">
        <v>5.0999999999999997E-2</v>
      </c>
      <c r="D258">
        <v>19</v>
      </c>
      <c r="E258">
        <v>87.8</v>
      </c>
      <c r="F258">
        <v>1.26</v>
      </c>
      <c r="G258">
        <v>1</v>
      </c>
      <c r="H258">
        <v>4.3</v>
      </c>
      <c r="I258">
        <v>840108.12</v>
      </c>
      <c r="J258">
        <f t="shared" si="9"/>
        <v>771446.50357380009</v>
      </c>
      <c r="K258">
        <f t="shared" si="10"/>
        <v>68661.616426199907</v>
      </c>
      <c r="L258">
        <f t="shared" si="11"/>
        <v>4714417570.258605</v>
      </c>
    </row>
    <row r="259" spans="1:12">
      <c r="A259">
        <v>28670.43</v>
      </c>
      <c r="B259">
        <v>7574</v>
      </c>
      <c r="C259">
        <v>0.114</v>
      </c>
      <c r="D259">
        <v>19</v>
      </c>
      <c r="E259">
        <v>82.7</v>
      </c>
      <c r="F259">
        <v>2.74</v>
      </c>
      <c r="G259">
        <v>0</v>
      </c>
      <c r="H259">
        <v>4.5999999999999996</v>
      </c>
      <c r="I259">
        <v>697888.09</v>
      </c>
      <c r="J259">
        <f t="shared" ref="J259:J321" si="12">95006.4+(1.18561*A259)+(27.858*B259)+(-72102*C259)+(3084.08*D259)+(2989.33*E259)+(-2890.2*F259)+(12984.1*G259)+(10433.9*H259)</f>
        <v>677667.11551229993</v>
      </c>
      <c r="K259">
        <f t="shared" ref="K259:K321" si="13">I259-J259</f>
        <v>20220.974487700034</v>
      </c>
      <c r="L259">
        <f t="shared" ref="L259:L321" si="14">K259^2</f>
        <v>408887809.23221564</v>
      </c>
    </row>
    <row r="260" spans="1:12">
      <c r="A260">
        <v>44189.34</v>
      </c>
      <c r="B260">
        <v>8634</v>
      </c>
      <c r="C260">
        <v>0.14299999999999999</v>
      </c>
      <c r="D260">
        <v>19</v>
      </c>
      <c r="E260">
        <v>87.5</v>
      </c>
      <c r="F260">
        <v>3.69</v>
      </c>
      <c r="G260">
        <v>0</v>
      </c>
      <c r="H260">
        <v>4.4000000000000004</v>
      </c>
      <c r="I260">
        <v>746115.59</v>
      </c>
      <c r="J260">
        <f t="shared" si="12"/>
        <v>733021.3263974</v>
      </c>
      <c r="K260">
        <f t="shared" si="13"/>
        <v>13094.263602599967</v>
      </c>
      <c r="L260">
        <f t="shared" si="14"/>
        <v>171459739.29437429</v>
      </c>
    </row>
    <row r="261" spans="1:12">
      <c r="A261">
        <v>38397.82</v>
      </c>
      <c r="B261">
        <v>7836</v>
      </c>
      <c r="C261">
        <v>7.0000000000000001E-3</v>
      </c>
      <c r="D261">
        <v>21</v>
      </c>
      <c r="E261">
        <v>92.2</v>
      </c>
      <c r="F261">
        <v>1.82</v>
      </c>
      <c r="G261">
        <v>0</v>
      </c>
      <c r="H261">
        <v>3.6</v>
      </c>
      <c r="I261">
        <v>776110.32</v>
      </c>
      <c r="J261">
        <f t="shared" si="12"/>
        <v>731005.59537020011</v>
      </c>
      <c r="K261">
        <f t="shared" si="13"/>
        <v>45104.724629799835</v>
      </c>
      <c r="L261">
        <f t="shared" si="14"/>
        <v>2034436183.9300718</v>
      </c>
    </row>
    <row r="262" spans="1:12">
      <c r="A262">
        <v>14519.37</v>
      </c>
      <c r="B262">
        <v>3047</v>
      </c>
      <c r="C262">
        <v>0.13500000000000001</v>
      </c>
      <c r="D262">
        <v>10</v>
      </c>
      <c r="E262">
        <v>90.3</v>
      </c>
      <c r="F262">
        <v>6.62</v>
      </c>
      <c r="G262">
        <v>0</v>
      </c>
      <c r="H262">
        <v>4.2</v>
      </c>
      <c r="I262">
        <v>528852.62</v>
      </c>
      <c r="J262">
        <f t="shared" si="12"/>
        <v>512836.82126569998</v>
      </c>
      <c r="K262">
        <f t="shared" si="13"/>
        <v>16015.798734300013</v>
      </c>
      <c r="L262">
        <f t="shared" si="14"/>
        <v>256505809.09760591</v>
      </c>
    </row>
    <row r="263" spans="1:12">
      <c r="A263">
        <v>43288.2</v>
      </c>
      <c r="B263">
        <v>4783</v>
      </c>
      <c r="C263">
        <v>0.16900000000000001</v>
      </c>
      <c r="D263">
        <v>13</v>
      </c>
      <c r="E263">
        <v>87.3</v>
      </c>
      <c r="F263">
        <f>K101</f>
        <v>37292.514829000109</v>
      </c>
      <c r="G263">
        <v>0</v>
      </c>
      <c r="H263">
        <v>4.2</v>
      </c>
      <c r="I263">
        <v>605751.32999999996</v>
      </c>
      <c r="J263">
        <f t="shared" si="12"/>
        <v>-107170553.53097411</v>
      </c>
      <c r="K263">
        <f t="shared" si="13"/>
        <v>107776304.8609741</v>
      </c>
      <c r="L263">
        <f t="shared" si="14"/>
        <v>1.161573188948563E+16</v>
      </c>
    </row>
    <row r="264" spans="1:12">
      <c r="A264">
        <v>51450.55</v>
      </c>
      <c r="B264">
        <v>4902</v>
      </c>
      <c r="C264">
        <v>8.5999999999999993E-2</v>
      </c>
      <c r="D264">
        <v>11</v>
      </c>
      <c r="E264">
        <v>83.7</v>
      </c>
      <c r="F264">
        <v>6.92</v>
      </c>
      <c r="G264">
        <v>1</v>
      </c>
      <c r="H264">
        <v>4.2</v>
      </c>
      <c r="I264">
        <v>677640.65</v>
      </c>
      <c r="J264">
        <f t="shared" si="12"/>
        <v>607303.92758549994</v>
      </c>
      <c r="K264">
        <f t="shared" si="13"/>
        <v>70336.72241450008</v>
      </c>
      <c r="L264">
        <f t="shared" si="14"/>
        <v>4947254520.0144377</v>
      </c>
    </row>
    <row r="265" spans="1:12">
      <c r="A265">
        <v>58688.26</v>
      </c>
      <c r="B265">
        <v>4022</v>
      </c>
      <c r="C265">
        <v>0.217</v>
      </c>
      <c r="D265">
        <v>12</v>
      </c>
      <c r="E265">
        <v>93.8</v>
      </c>
      <c r="F265">
        <v>11.78</v>
      </c>
      <c r="G265">
        <v>0</v>
      </c>
      <c r="H265">
        <v>3.7</v>
      </c>
      <c r="I265">
        <v>636613.23</v>
      </c>
      <c r="J265">
        <f t="shared" si="12"/>
        <v>582953.51793860004</v>
      </c>
      <c r="K265">
        <f t="shared" si="13"/>
        <v>53659.712061399943</v>
      </c>
      <c r="L265">
        <f t="shared" si="14"/>
        <v>2879364698.5123506</v>
      </c>
    </row>
    <row r="266" spans="1:12">
      <c r="A266">
        <v>58981.91</v>
      </c>
      <c r="B266">
        <v>7324</v>
      </c>
      <c r="C266">
        <v>9.4E-2</v>
      </c>
      <c r="D266">
        <v>15</v>
      </c>
      <c r="E266">
        <v>95.8</v>
      </c>
      <c r="F266">
        <v>0.5</v>
      </c>
      <c r="G266">
        <v>0</v>
      </c>
      <c r="H266">
        <v>3.5</v>
      </c>
      <c r="I266">
        <v>708985.19</v>
      </c>
      <c r="J266">
        <f t="shared" si="12"/>
        <v>729902.9103151001</v>
      </c>
      <c r="K266">
        <f t="shared" si="13"/>
        <v>-20917.720315100159</v>
      </c>
      <c r="L266">
        <f t="shared" si="14"/>
        <v>437551023.18075389</v>
      </c>
    </row>
    <row r="267" spans="1:12">
      <c r="A267">
        <v>73454.539999999994</v>
      </c>
      <c r="B267">
        <v>8129</v>
      </c>
      <c r="C267">
        <v>0.21099999999999999</v>
      </c>
      <c r="D267">
        <v>20</v>
      </c>
      <c r="E267">
        <v>85.2</v>
      </c>
      <c r="F267">
        <v>0.88</v>
      </c>
      <c r="G267">
        <v>0</v>
      </c>
      <c r="H267">
        <v>3.7</v>
      </c>
      <c r="I267">
        <v>767792.94</v>
      </c>
      <c r="J267">
        <f t="shared" si="12"/>
        <v>745773.56716939993</v>
      </c>
      <c r="K267">
        <f t="shared" si="13"/>
        <v>22019.372830600012</v>
      </c>
      <c r="L267">
        <f t="shared" si="14"/>
        <v>484852779.85296601</v>
      </c>
    </row>
    <row r="268" spans="1:12">
      <c r="A268">
        <v>56602.39</v>
      </c>
      <c r="B268">
        <v>7969</v>
      </c>
      <c r="C268">
        <v>0.17</v>
      </c>
      <c r="D268">
        <v>21</v>
      </c>
      <c r="E268">
        <v>88.3</v>
      </c>
      <c r="F268">
        <v>2.25</v>
      </c>
      <c r="G268">
        <v>0</v>
      </c>
      <c r="H268">
        <v>3.7</v>
      </c>
      <c r="I268">
        <v>745580.51</v>
      </c>
      <c r="J268">
        <f t="shared" si="12"/>
        <v>732683.82060790004</v>
      </c>
      <c r="K268">
        <f t="shared" si="13"/>
        <v>12896.689392099972</v>
      </c>
      <c r="L268">
        <f t="shared" si="14"/>
        <v>166324597.27630395</v>
      </c>
    </row>
    <row r="269" spans="1:12">
      <c r="A269">
        <v>67722.289999999994</v>
      </c>
      <c r="B269">
        <v>7240</v>
      </c>
      <c r="C269">
        <v>2.5999999999999999E-2</v>
      </c>
      <c r="D269">
        <v>15</v>
      </c>
      <c r="E269">
        <v>92.9</v>
      </c>
      <c r="F269">
        <v>0.28999999999999998</v>
      </c>
      <c r="G269">
        <v>0</v>
      </c>
      <c r="H269">
        <v>3.5</v>
      </c>
      <c r="I269">
        <v>762328.31</v>
      </c>
      <c r="J269">
        <f t="shared" si="12"/>
        <v>734766.34124690003</v>
      </c>
      <c r="K269">
        <f t="shared" si="13"/>
        <v>27561.968753100024</v>
      </c>
      <c r="L269">
        <f t="shared" si="14"/>
        <v>759662121.54686213</v>
      </c>
    </row>
    <row r="270" spans="1:12">
      <c r="A270">
        <v>48752.92</v>
      </c>
      <c r="B270">
        <v>8052</v>
      </c>
      <c r="C270">
        <v>0.106</v>
      </c>
      <c r="D270">
        <v>16</v>
      </c>
      <c r="E270">
        <v>94.9</v>
      </c>
      <c r="F270">
        <v>0.65</v>
      </c>
      <c r="G270">
        <v>0</v>
      </c>
      <c r="H270">
        <v>3.6</v>
      </c>
      <c r="I270">
        <v>660633.99</v>
      </c>
      <c r="J270">
        <f t="shared" si="12"/>
        <v>738194.26048120006</v>
      </c>
      <c r="K270">
        <f t="shared" si="13"/>
        <v>-77560.270481200074</v>
      </c>
      <c r="L270">
        <f t="shared" si="14"/>
        <v>6015595557.1169157</v>
      </c>
    </row>
    <row r="271" spans="1:12">
      <c r="A271">
        <v>23914.97</v>
      </c>
      <c r="B271">
        <v>8018</v>
      </c>
      <c r="C271">
        <v>0.13900000000000001</v>
      </c>
      <c r="D271">
        <v>20</v>
      </c>
      <c r="E271">
        <v>89</v>
      </c>
      <c r="F271">
        <v>0.2</v>
      </c>
      <c r="G271">
        <v>0</v>
      </c>
      <c r="H271">
        <v>3.5</v>
      </c>
      <c r="I271">
        <v>739374.56</v>
      </c>
      <c r="J271">
        <f t="shared" si="12"/>
        <v>700376.07358169986</v>
      </c>
      <c r="K271">
        <f t="shared" si="13"/>
        <v>38998.486418300192</v>
      </c>
      <c r="L271">
        <f t="shared" si="14"/>
        <v>1520881942.9183445</v>
      </c>
    </row>
    <row r="272" spans="1:12">
      <c r="A272">
        <v>61995.3</v>
      </c>
      <c r="B272">
        <v>10192</v>
      </c>
      <c r="C272">
        <v>0.19800000000000001</v>
      </c>
      <c r="D272">
        <v>21</v>
      </c>
      <c r="E272">
        <v>87.6</v>
      </c>
      <c r="F272">
        <v>3.63</v>
      </c>
      <c r="G272">
        <v>1</v>
      </c>
      <c r="H272">
        <v>3.8</v>
      </c>
      <c r="I272">
        <v>799756.46</v>
      </c>
      <c r="J272">
        <f t="shared" si="12"/>
        <v>806933.66963299992</v>
      </c>
      <c r="K272">
        <f t="shared" si="13"/>
        <v>-7177.2096329999622</v>
      </c>
      <c r="L272">
        <f t="shared" si="14"/>
        <v>51512338.116027452</v>
      </c>
    </row>
    <row r="273" spans="1:12">
      <c r="A273">
        <v>29344.93</v>
      </c>
      <c r="B273">
        <v>7446</v>
      </c>
      <c r="C273">
        <v>0.111</v>
      </c>
      <c r="D273">
        <v>15</v>
      </c>
      <c r="E273">
        <v>86.2</v>
      </c>
      <c r="F273">
        <v>0.2</v>
      </c>
      <c r="G273">
        <v>0</v>
      </c>
      <c r="H273">
        <v>3.2</v>
      </c>
      <c r="I273">
        <v>593343</v>
      </c>
      <c r="J273">
        <f t="shared" si="12"/>
        <v>665977.27445729997</v>
      </c>
      <c r="K273">
        <f t="shared" si="13"/>
        <v>-72634.274457299965</v>
      </c>
      <c r="L273">
        <f t="shared" si="14"/>
        <v>5275737825.9383783</v>
      </c>
    </row>
    <row r="274" spans="1:12">
      <c r="A274">
        <v>50532.17</v>
      </c>
      <c r="B274">
        <v>5689</v>
      </c>
      <c r="C274">
        <v>5.1999999999999998E-2</v>
      </c>
      <c r="D274">
        <v>17</v>
      </c>
      <c r="E274">
        <v>85.6</v>
      </c>
      <c r="F274">
        <v>6.23</v>
      </c>
      <c r="G274">
        <v>0</v>
      </c>
      <c r="H274">
        <v>3.3</v>
      </c>
      <c r="I274">
        <v>645039.97</v>
      </c>
      <c r="J274">
        <f t="shared" si="12"/>
        <v>634394.63607370004</v>
      </c>
      <c r="K274">
        <f t="shared" si="13"/>
        <v>10645.333926299936</v>
      </c>
      <c r="L274">
        <f t="shared" si="14"/>
        <v>113323134.40243241</v>
      </c>
    </row>
    <row r="275" spans="1:12">
      <c r="A275">
        <v>17562.57</v>
      </c>
      <c r="B275">
        <v>3326</v>
      </c>
      <c r="C275">
        <v>0.153</v>
      </c>
      <c r="D275">
        <v>14</v>
      </c>
      <c r="E275">
        <v>88.1</v>
      </c>
      <c r="F275">
        <v>1.04</v>
      </c>
      <c r="G275">
        <v>0</v>
      </c>
      <c r="H275">
        <v>3.1</v>
      </c>
      <c r="I275">
        <v>561597.32999999996</v>
      </c>
      <c r="J275">
        <f t="shared" si="12"/>
        <v>533329.23561770003</v>
      </c>
      <c r="K275">
        <f t="shared" si="13"/>
        <v>28268.094382299925</v>
      </c>
      <c r="L275">
        <f t="shared" si="14"/>
        <v>799085160.00661659</v>
      </c>
    </row>
    <row r="276" spans="1:12">
      <c r="A276">
        <v>47648.71</v>
      </c>
      <c r="B276">
        <v>5767</v>
      </c>
      <c r="C276">
        <v>0.14099999999999999</v>
      </c>
      <c r="D276">
        <v>17</v>
      </c>
      <c r="E276">
        <v>89.8</v>
      </c>
      <c r="F276">
        <v>1.76</v>
      </c>
      <c r="G276">
        <v>0</v>
      </c>
      <c r="H276">
        <v>3.1</v>
      </c>
      <c r="I276">
        <v>635837.74</v>
      </c>
      <c r="J276">
        <f t="shared" si="12"/>
        <v>650119.42306309997</v>
      </c>
      <c r="K276">
        <f t="shared" si="13"/>
        <v>-14281.683063099976</v>
      </c>
      <c r="L276">
        <f t="shared" si="14"/>
        <v>203966471.11483669</v>
      </c>
    </row>
    <row r="277" spans="1:12">
      <c r="A277">
        <v>38297.58</v>
      </c>
      <c r="B277">
        <v>5893</v>
      </c>
      <c r="C277">
        <v>0.247</v>
      </c>
      <c r="D277">
        <v>18</v>
      </c>
      <c r="E277">
        <v>77.599999999999994</v>
      </c>
      <c r="F277">
        <v>2.86</v>
      </c>
      <c r="G277">
        <v>0</v>
      </c>
      <c r="H277">
        <v>3</v>
      </c>
      <c r="I277">
        <v>686737.87</v>
      </c>
      <c r="J277">
        <f t="shared" si="12"/>
        <v>597291.5698238</v>
      </c>
      <c r="K277">
        <f t="shared" si="13"/>
        <v>89446.300176199991</v>
      </c>
      <c r="L277">
        <f t="shared" si="14"/>
        <v>8000640615.2108746</v>
      </c>
    </row>
    <row r="278" spans="1:12">
      <c r="A278">
        <v>61784.11</v>
      </c>
      <c r="B278">
        <v>8564</v>
      </c>
      <c r="C278">
        <v>0.13</v>
      </c>
      <c r="D278">
        <v>17</v>
      </c>
      <c r="E278">
        <v>87.4</v>
      </c>
      <c r="F278">
        <v>18.14</v>
      </c>
      <c r="G278">
        <v>1</v>
      </c>
      <c r="H278">
        <v>3.4</v>
      </c>
      <c r="I278">
        <v>673076.34</v>
      </c>
      <c r="J278">
        <f t="shared" si="12"/>
        <v>707188.84465710004</v>
      </c>
      <c r="K278">
        <f t="shared" si="13"/>
        <v>-34112.504657100071</v>
      </c>
      <c r="L278">
        <f t="shared" si="14"/>
        <v>1163662973.980674</v>
      </c>
    </row>
    <row r="279" spans="1:12">
      <c r="A279">
        <v>36832.33</v>
      </c>
      <c r="B279">
        <v>8001</v>
      </c>
      <c r="C279">
        <v>0</v>
      </c>
      <c r="D279">
        <v>19</v>
      </c>
      <c r="E279">
        <v>88.7</v>
      </c>
      <c r="F279">
        <v>3.39</v>
      </c>
      <c r="G279">
        <v>0</v>
      </c>
      <c r="H279">
        <v>4</v>
      </c>
      <c r="I279">
        <v>738548.42</v>
      </c>
      <c r="J279">
        <f t="shared" si="12"/>
        <v>717255.94977129996</v>
      </c>
      <c r="K279">
        <f t="shared" si="13"/>
        <v>21292.470228700084</v>
      </c>
      <c r="L279">
        <f t="shared" si="14"/>
        <v>453369288.44007939</v>
      </c>
    </row>
    <row r="280" spans="1:12">
      <c r="A280">
        <v>48609.41</v>
      </c>
      <c r="B280">
        <v>9324</v>
      </c>
      <c r="C280">
        <v>0.21299999999999999</v>
      </c>
      <c r="D280">
        <v>18</v>
      </c>
      <c r="E280">
        <v>86.5</v>
      </c>
      <c r="F280">
        <v>1.44</v>
      </c>
      <c r="G280">
        <v>0</v>
      </c>
      <c r="H280">
        <v>3.9</v>
      </c>
      <c r="I280">
        <v>756619.77</v>
      </c>
      <c r="J280">
        <f t="shared" si="12"/>
        <v>747649.27559009986</v>
      </c>
      <c r="K280">
        <f t="shared" si="13"/>
        <v>8970.4944099001586</v>
      </c>
      <c r="L280">
        <f t="shared" si="14"/>
        <v>80469769.958049998</v>
      </c>
    </row>
    <row r="281" spans="1:12">
      <c r="A281">
        <v>70284.06</v>
      </c>
      <c r="B281">
        <v>9109</v>
      </c>
      <c r="C281">
        <v>4.0000000000000001E-3</v>
      </c>
      <c r="D281">
        <v>23</v>
      </c>
      <c r="E281">
        <v>87</v>
      </c>
      <c r="F281">
        <v>3.65</v>
      </c>
      <c r="G281">
        <v>0</v>
      </c>
      <c r="H281">
        <v>3.7</v>
      </c>
      <c r="I281">
        <v>761122.42</v>
      </c>
      <c r="J281">
        <f t="shared" si="12"/>
        <v>790867.74837659998</v>
      </c>
      <c r="K281">
        <f t="shared" si="13"/>
        <v>-29745.328376599937</v>
      </c>
      <c r="L281">
        <f t="shared" si="14"/>
        <v>884784560.23176146</v>
      </c>
    </row>
    <row r="282" spans="1:12">
      <c r="A282">
        <v>45940.39</v>
      </c>
      <c r="B282">
        <v>4022</v>
      </c>
      <c r="C282">
        <v>6.9000000000000006E-2</v>
      </c>
      <c r="D282">
        <v>10</v>
      </c>
      <c r="E282">
        <v>83</v>
      </c>
      <c r="F282">
        <v>1.23</v>
      </c>
      <c r="G282">
        <v>1</v>
      </c>
      <c r="H282">
        <v>3.8</v>
      </c>
      <c r="I282">
        <v>524899.56999999995</v>
      </c>
      <c r="J282">
        <f t="shared" si="12"/>
        <v>584576.78778789984</v>
      </c>
      <c r="K282">
        <f t="shared" si="13"/>
        <v>-59677.217787899892</v>
      </c>
      <c r="L282">
        <f t="shared" si="14"/>
        <v>3561370322.9044352</v>
      </c>
    </row>
    <row r="283" spans="1:12">
      <c r="A283">
        <v>34771.26</v>
      </c>
      <c r="B283">
        <v>4355</v>
      </c>
      <c r="C283">
        <v>5.0999999999999997E-2</v>
      </c>
      <c r="D283">
        <v>15</v>
      </c>
      <c r="E283">
        <v>87.9</v>
      </c>
      <c r="F283">
        <v>3.09</v>
      </c>
      <c r="G283">
        <v>0</v>
      </c>
      <c r="H283">
        <v>4</v>
      </c>
      <c r="I283">
        <v>555557.77</v>
      </c>
      <c r="J283">
        <f t="shared" si="12"/>
        <v>595704.13056860003</v>
      </c>
      <c r="K283">
        <f t="shared" si="13"/>
        <v>-40146.360568600008</v>
      </c>
      <c r="L283">
        <f t="shared" si="14"/>
        <v>1611730266.9040415</v>
      </c>
    </row>
    <row r="284" spans="1:12">
      <c r="A284">
        <v>66104.19</v>
      </c>
      <c r="B284">
        <v>5745</v>
      </c>
      <c r="C284">
        <v>7.0000000000000007E-2</v>
      </c>
      <c r="D284">
        <v>17</v>
      </c>
      <c r="E284">
        <v>95.8</v>
      </c>
      <c r="F284">
        <v>3.15</v>
      </c>
      <c r="G284">
        <v>0</v>
      </c>
      <c r="H284">
        <v>4</v>
      </c>
      <c r="I284">
        <v>714083.68</v>
      </c>
      <c r="J284">
        <f t="shared" si="12"/>
        <v>699815.90270589991</v>
      </c>
      <c r="K284">
        <f t="shared" si="13"/>
        <v>14267.777294100146</v>
      </c>
      <c r="L284">
        <f t="shared" si="14"/>
        <v>203569468.91403967</v>
      </c>
    </row>
    <row r="285" spans="1:12">
      <c r="A285">
        <v>18599.21</v>
      </c>
      <c r="B285">
        <v>3027</v>
      </c>
      <c r="C285">
        <v>0.122</v>
      </c>
      <c r="D285">
        <v>11</v>
      </c>
      <c r="E285">
        <v>80.900000000000006</v>
      </c>
      <c r="F285">
        <v>6.44</v>
      </c>
      <c r="G285">
        <v>0</v>
      </c>
      <c r="H285">
        <v>4.2</v>
      </c>
      <c r="I285">
        <v>497439.82</v>
      </c>
      <c r="J285">
        <f t="shared" si="12"/>
        <v>493558.70036810002</v>
      </c>
      <c r="K285">
        <f t="shared" si="13"/>
        <v>3881.1196318999864</v>
      </c>
      <c r="L285">
        <f t="shared" si="14"/>
        <v>15063089.597119486</v>
      </c>
    </row>
    <row r="286" spans="1:12">
      <c r="A286">
        <v>60183.06</v>
      </c>
      <c r="B286">
        <v>5562</v>
      </c>
      <c r="C286">
        <v>8.9999999999999993E-3</v>
      </c>
      <c r="D286">
        <v>13</v>
      </c>
      <c r="E286">
        <v>86.3</v>
      </c>
      <c r="F286">
        <v>0.2</v>
      </c>
      <c r="G286">
        <v>1</v>
      </c>
      <c r="H286">
        <v>4.5</v>
      </c>
      <c r="I286">
        <v>636775.66</v>
      </c>
      <c r="J286">
        <f t="shared" si="12"/>
        <v>678088.14476659999</v>
      </c>
      <c r="K286">
        <f t="shared" si="13"/>
        <v>-41312.484766599955</v>
      </c>
      <c r="L286">
        <f t="shared" si="14"/>
        <v>1706721397.5905533</v>
      </c>
    </row>
    <row r="287" spans="1:12">
      <c r="A287">
        <v>74539.14</v>
      </c>
      <c r="B287">
        <v>4487</v>
      </c>
      <c r="C287">
        <v>0.14000000000000001</v>
      </c>
      <c r="D287">
        <v>10</v>
      </c>
      <c r="E287">
        <v>90.4</v>
      </c>
      <c r="F287">
        <v>0.59</v>
      </c>
      <c r="G287">
        <v>0</v>
      </c>
      <c r="H287">
        <v>4.5</v>
      </c>
      <c r="I287">
        <v>633009.53</v>
      </c>
      <c r="J287">
        <f t="shared" si="12"/>
        <v>644608.87977540004</v>
      </c>
      <c r="K287">
        <f t="shared" si="13"/>
        <v>-11599.349775400013</v>
      </c>
      <c r="L287">
        <f t="shared" si="14"/>
        <v>134544915.21207231</v>
      </c>
    </row>
    <row r="288" spans="1:12">
      <c r="A288">
        <v>55371.97</v>
      </c>
      <c r="B288">
        <v>4162</v>
      </c>
      <c r="C288">
        <v>0.183</v>
      </c>
      <c r="D288">
        <v>11</v>
      </c>
      <c r="E288">
        <v>92</v>
      </c>
      <c r="F288">
        <v>0.2</v>
      </c>
      <c r="G288">
        <v>1</v>
      </c>
      <c r="H288">
        <v>4.2</v>
      </c>
      <c r="I288">
        <v>609949</v>
      </c>
      <c r="J288">
        <f t="shared" si="12"/>
        <v>628577.9713516999</v>
      </c>
      <c r="K288">
        <f t="shared" si="13"/>
        <v>-18628.971351699904</v>
      </c>
      <c r="L288">
        <f t="shared" si="14"/>
        <v>347038573.62245572</v>
      </c>
    </row>
    <row r="289" spans="1:12">
      <c r="A289">
        <v>40928.69</v>
      </c>
      <c r="B289">
        <v>4094</v>
      </c>
      <c r="C289">
        <v>0.17399999999999999</v>
      </c>
      <c r="D289">
        <v>13</v>
      </c>
      <c r="E289">
        <v>82.4</v>
      </c>
      <c r="F289">
        <v>1.36</v>
      </c>
      <c r="G289">
        <v>0</v>
      </c>
      <c r="H289">
        <v>4.8</v>
      </c>
      <c r="I289">
        <v>548103.69999999995</v>
      </c>
      <c r="J289">
        <f t="shared" si="12"/>
        <v>577602.64815089991</v>
      </c>
      <c r="K289">
        <f t="shared" si="13"/>
        <v>-29498.94815089996</v>
      </c>
      <c r="L289">
        <f t="shared" si="14"/>
        <v>870187942.00948417</v>
      </c>
    </row>
    <row r="290" spans="1:12">
      <c r="A290">
        <v>70012.41</v>
      </c>
      <c r="B290">
        <v>8484</v>
      </c>
      <c r="C290">
        <v>0.27300000000000002</v>
      </c>
      <c r="D290">
        <v>23</v>
      </c>
      <c r="E290">
        <v>72.900000000000006</v>
      </c>
      <c r="F290">
        <v>3.34</v>
      </c>
      <c r="G290">
        <v>0</v>
      </c>
      <c r="H290">
        <v>3.7</v>
      </c>
      <c r="I290">
        <v>729424.42</v>
      </c>
      <c r="J290">
        <f t="shared" si="12"/>
        <v>712485.39842009998</v>
      </c>
      <c r="K290">
        <f t="shared" si="13"/>
        <v>16939.021579900058</v>
      </c>
      <c r="L290">
        <f t="shared" si="14"/>
        <v>286930452.08431983</v>
      </c>
    </row>
    <row r="291" spans="1:12">
      <c r="A291">
        <v>68909.259999999995</v>
      </c>
      <c r="B291">
        <v>7794</v>
      </c>
      <c r="C291">
        <v>0.28399999999999997</v>
      </c>
      <c r="D291">
        <v>22</v>
      </c>
      <c r="E291">
        <v>89</v>
      </c>
      <c r="F291">
        <v>0.33</v>
      </c>
      <c r="G291">
        <v>0</v>
      </c>
      <c r="H291">
        <v>4</v>
      </c>
      <c r="I291">
        <v>696261.49</v>
      </c>
      <c r="J291">
        <f t="shared" si="12"/>
        <v>748036.15574860002</v>
      </c>
      <c r="K291">
        <f t="shared" si="13"/>
        <v>-51774.665748600033</v>
      </c>
      <c r="L291">
        <f t="shared" si="14"/>
        <v>2680616013.3792572</v>
      </c>
    </row>
    <row r="292" spans="1:12">
      <c r="A292">
        <v>56737.3</v>
      </c>
      <c r="B292">
        <v>8300</v>
      </c>
      <c r="C292">
        <v>3.2000000000000001E-2</v>
      </c>
      <c r="D292">
        <v>21</v>
      </c>
      <c r="E292">
        <v>83.2</v>
      </c>
      <c r="F292">
        <v>3.44</v>
      </c>
      <c r="G292">
        <v>1</v>
      </c>
      <c r="H292">
        <v>4.3</v>
      </c>
      <c r="I292">
        <v>813316.71</v>
      </c>
      <c r="J292">
        <f t="shared" si="12"/>
        <v>752574.36425300001</v>
      </c>
      <c r="K292">
        <f t="shared" si="13"/>
        <v>60742.345746999956</v>
      </c>
      <c r="L292">
        <f t="shared" si="14"/>
        <v>3689632566.8480835</v>
      </c>
    </row>
    <row r="293" spans="1:12">
      <c r="A293">
        <v>54080.91</v>
      </c>
      <c r="B293">
        <v>7083</v>
      </c>
      <c r="C293">
        <v>0</v>
      </c>
      <c r="D293">
        <v>15</v>
      </c>
      <c r="E293">
        <v>97</v>
      </c>
      <c r="F293">
        <v>5.33</v>
      </c>
      <c r="G293">
        <v>0</v>
      </c>
      <c r="H293">
        <v>4.0999999999999996</v>
      </c>
      <c r="I293">
        <v>702068.92</v>
      </c>
      <c r="J293">
        <f t="shared" si="12"/>
        <v>720043.91570510005</v>
      </c>
      <c r="K293">
        <f t="shared" si="13"/>
        <v>-17974.995705100009</v>
      </c>
      <c r="L293">
        <f t="shared" si="14"/>
        <v>323100470.59836376</v>
      </c>
    </row>
    <row r="294" spans="1:12">
      <c r="A294">
        <v>51996.32</v>
      </c>
      <c r="B294">
        <v>3834</v>
      </c>
      <c r="C294">
        <v>9.6000000000000002E-2</v>
      </c>
      <c r="D294">
        <v>8</v>
      </c>
      <c r="E294">
        <v>86.7</v>
      </c>
      <c r="F294">
        <v>6.04</v>
      </c>
      <c r="G294">
        <v>0</v>
      </c>
      <c r="H294">
        <v>4.5</v>
      </c>
      <c r="I294">
        <v>546223.69999999995</v>
      </c>
      <c r="J294">
        <f t="shared" si="12"/>
        <v>569882.82995519997</v>
      </c>
      <c r="K294">
        <f t="shared" si="13"/>
        <v>-23659.129955200013</v>
      </c>
      <c r="L294">
        <f t="shared" si="14"/>
        <v>559754430.23704255</v>
      </c>
    </row>
    <row r="295" spans="1:12">
      <c r="A295">
        <v>40102.879999999997</v>
      </c>
      <c r="B295">
        <v>2358</v>
      </c>
      <c r="C295">
        <v>0.11899999999999999</v>
      </c>
      <c r="D295">
        <v>9</v>
      </c>
      <c r="E295">
        <v>88.7</v>
      </c>
      <c r="F295">
        <v>1.6</v>
      </c>
      <c r="G295">
        <v>0</v>
      </c>
      <c r="H295">
        <v>4.2</v>
      </c>
      <c r="I295">
        <v>533121.26</v>
      </c>
      <c r="J295">
        <f t="shared" si="12"/>
        <v>531770.15255679993</v>
      </c>
      <c r="K295">
        <f t="shared" si="13"/>
        <v>1351.1074432000751</v>
      </c>
      <c r="L295">
        <f t="shared" si="14"/>
        <v>1825491.3230706442</v>
      </c>
    </row>
    <row r="296" spans="1:12">
      <c r="A296">
        <v>59825.51</v>
      </c>
      <c r="B296">
        <v>1231</v>
      </c>
      <c r="C296">
        <v>0.214</v>
      </c>
      <c r="D296">
        <v>10</v>
      </c>
      <c r="E296">
        <v>84.8</v>
      </c>
      <c r="F296">
        <v>8.9600000000000009</v>
      </c>
      <c r="G296">
        <v>0</v>
      </c>
      <c r="H296">
        <v>4.7</v>
      </c>
      <c r="I296">
        <v>498970.32</v>
      </c>
      <c r="J296">
        <f t="shared" si="12"/>
        <v>492278.61491110001</v>
      </c>
      <c r="K296">
        <f t="shared" si="13"/>
        <v>6691.7050888999947</v>
      </c>
      <c r="L296">
        <f t="shared" si="14"/>
        <v>44778916.996810086</v>
      </c>
    </row>
    <row r="297" spans="1:12">
      <c r="A297">
        <v>27398.28</v>
      </c>
      <c r="B297">
        <v>1723</v>
      </c>
      <c r="C297">
        <v>0.17100000000000001</v>
      </c>
      <c r="D297">
        <v>9</v>
      </c>
      <c r="E297">
        <v>81</v>
      </c>
      <c r="F297">
        <v>0.74</v>
      </c>
      <c r="G297">
        <v>0</v>
      </c>
      <c r="H297">
        <v>4.5999999999999996</v>
      </c>
      <c r="I297">
        <v>487738.26</v>
      </c>
      <c r="J297">
        <f t="shared" si="12"/>
        <v>478909.60875079996</v>
      </c>
      <c r="K297">
        <f t="shared" si="13"/>
        <v>8828.6512492000475</v>
      </c>
      <c r="L297">
        <f t="shared" si="14"/>
        <v>77945082.88000156</v>
      </c>
    </row>
    <row r="298" spans="1:12">
      <c r="A298">
        <v>55599.56</v>
      </c>
      <c r="B298">
        <v>5896</v>
      </c>
      <c r="C298">
        <v>3.5999999999999997E-2</v>
      </c>
      <c r="D298">
        <v>12</v>
      </c>
      <c r="E298">
        <v>93.1</v>
      </c>
      <c r="F298">
        <v>6.13</v>
      </c>
      <c r="G298">
        <v>0</v>
      </c>
      <c r="H298">
        <v>3.3</v>
      </c>
      <c r="I298">
        <v>668459.37</v>
      </c>
      <c r="J298">
        <f t="shared" si="12"/>
        <v>654611.41733159998</v>
      </c>
      <c r="K298">
        <f t="shared" si="13"/>
        <v>13847.952668400016</v>
      </c>
      <c r="L298">
        <f t="shared" si="14"/>
        <v>191765793.10624713</v>
      </c>
    </row>
    <row r="299" spans="1:12">
      <c r="A299">
        <v>55477.61</v>
      </c>
      <c r="B299">
        <v>5903</v>
      </c>
      <c r="C299">
        <v>0.10199999999999999</v>
      </c>
      <c r="D299">
        <v>14</v>
      </c>
      <c r="E299">
        <v>96.2</v>
      </c>
      <c r="F299">
        <v>1.41</v>
      </c>
      <c r="G299">
        <v>0</v>
      </c>
      <c r="H299">
        <v>3.3</v>
      </c>
      <c r="I299">
        <v>763162.45</v>
      </c>
      <c r="J299">
        <f t="shared" si="12"/>
        <v>678979.93319209991</v>
      </c>
      <c r="K299">
        <f t="shared" si="13"/>
        <v>84182.516807900043</v>
      </c>
      <c r="L299">
        <f t="shared" si="14"/>
        <v>7086696136.1123734</v>
      </c>
    </row>
    <row r="300" spans="1:12">
      <c r="A300">
        <v>46174.7</v>
      </c>
      <c r="B300">
        <v>4898</v>
      </c>
      <c r="C300">
        <v>0.114</v>
      </c>
      <c r="D300">
        <v>11</v>
      </c>
      <c r="E300">
        <v>91.7</v>
      </c>
      <c r="F300">
        <v>3.75</v>
      </c>
      <c r="G300">
        <v>0</v>
      </c>
      <c r="H300">
        <v>3.1</v>
      </c>
      <c r="I300">
        <v>599017.32999999996</v>
      </c>
      <c r="J300">
        <f t="shared" si="12"/>
        <v>607533.72306699993</v>
      </c>
      <c r="K300">
        <f t="shared" si="13"/>
        <v>-8516.3930669999681</v>
      </c>
      <c r="L300">
        <f t="shared" si="14"/>
        <v>72528950.871645123</v>
      </c>
    </row>
    <row r="301" spans="1:12">
      <c r="A301">
        <v>24362.98</v>
      </c>
      <c r="B301">
        <v>1462</v>
      </c>
      <c r="C301">
        <v>0.11700000000000001</v>
      </c>
      <c r="D301">
        <v>6</v>
      </c>
      <c r="E301">
        <v>89.3</v>
      </c>
      <c r="F301">
        <v>15.06</v>
      </c>
      <c r="G301">
        <v>0</v>
      </c>
      <c r="H301">
        <v>3.2</v>
      </c>
      <c r="I301">
        <v>401582.58</v>
      </c>
      <c r="J301">
        <f t="shared" si="12"/>
        <v>431497.57171779999</v>
      </c>
      <c r="K301">
        <f t="shared" si="13"/>
        <v>-29914.991717799974</v>
      </c>
      <c r="L301">
        <f t="shared" si="14"/>
        <v>894906729.47604108</v>
      </c>
    </row>
    <row r="302" spans="1:12">
      <c r="A302">
        <v>40647.67</v>
      </c>
      <c r="B302">
        <v>8252</v>
      </c>
      <c r="C302">
        <v>0.14099999999999999</v>
      </c>
      <c r="D302">
        <v>22</v>
      </c>
      <c r="E302">
        <v>88.2</v>
      </c>
      <c r="F302">
        <v>5.07</v>
      </c>
      <c r="G302">
        <v>1</v>
      </c>
      <c r="H302">
        <v>4.0999999999999996</v>
      </c>
      <c r="I302">
        <v>703812.99</v>
      </c>
      <c r="J302">
        <f t="shared" si="12"/>
        <v>735534.96002869995</v>
      </c>
      <c r="K302">
        <f t="shared" si="13"/>
        <v>-31721.970028699958</v>
      </c>
      <c r="L302">
        <f t="shared" si="14"/>
        <v>1006283382.5017384</v>
      </c>
    </row>
    <row r="303" spans="1:12">
      <c r="A303">
        <v>63986.98</v>
      </c>
      <c r="B303">
        <v>7989</v>
      </c>
      <c r="C303">
        <v>7.3999999999999996E-2</v>
      </c>
      <c r="D303">
        <v>20</v>
      </c>
      <c r="E303">
        <v>83.3</v>
      </c>
      <c r="F303">
        <v>3.6</v>
      </c>
      <c r="G303">
        <v>0</v>
      </c>
      <c r="H303">
        <v>3.7</v>
      </c>
      <c r="I303">
        <v>724346.73</v>
      </c>
      <c r="J303">
        <f t="shared" si="12"/>
        <v>726985.51635779999</v>
      </c>
      <c r="K303">
        <f t="shared" si="13"/>
        <v>-2638.7863578000106</v>
      </c>
      <c r="L303">
        <f t="shared" si="14"/>
        <v>6963193.4421114456</v>
      </c>
    </row>
    <row r="304" spans="1:12">
      <c r="A304">
        <v>52843.75</v>
      </c>
      <c r="B304">
        <v>8268</v>
      </c>
      <c r="C304">
        <v>0.13800000000000001</v>
      </c>
      <c r="D304">
        <v>19</v>
      </c>
      <c r="E304">
        <v>87.3</v>
      </c>
      <c r="F304">
        <v>4.3899999999999997</v>
      </c>
      <c r="G304">
        <v>1</v>
      </c>
      <c r="H304">
        <v>4.7</v>
      </c>
      <c r="I304">
        <v>730890.01</v>
      </c>
      <c r="J304">
        <f t="shared" si="12"/>
        <v>746939.82743749989</v>
      </c>
      <c r="K304">
        <f t="shared" si="13"/>
        <v>-16049.817437499878</v>
      </c>
      <c r="L304">
        <f t="shared" si="14"/>
        <v>257596639.77707514</v>
      </c>
    </row>
    <row r="305" spans="1:12">
      <c r="A305">
        <v>31997.25</v>
      </c>
      <c r="B305">
        <v>8183</v>
      </c>
      <c r="C305">
        <v>0.19800000000000001</v>
      </c>
      <c r="D305">
        <v>18</v>
      </c>
      <c r="E305">
        <v>93</v>
      </c>
      <c r="F305">
        <v>2.79</v>
      </c>
      <c r="G305">
        <v>0</v>
      </c>
      <c r="H305">
        <v>4.2</v>
      </c>
      <c r="I305">
        <v>780580.95</v>
      </c>
      <c r="J305">
        <f t="shared" si="12"/>
        <v>715908.32957249996</v>
      </c>
      <c r="K305">
        <f t="shared" si="13"/>
        <v>64672.620427499991</v>
      </c>
      <c r="L305">
        <f t="shared" si="14"/>
        <v>4182547832.9594889</v>
      </c>
    </row>
    <row r="306" spans="1:12">
      <c r="A306">
        <v>54948.02</v>
      </c>
      <c r="B306">
        <v>6534</v>
      </c>
      <c r="C306">
        <v>0.183</v>
      </c>
      <c r="D306">
        <v>14</v>
      </c>
      <c r="E306">
        <v>94.5</v>
      </c>
      <c r="F306">
        <v>1.56</v>
      </c>
      <c r="G306">
        <v>0</v>
      </c>
      <c r="H306">
        <v>4</v>
      </c>
      <c r="I306">
        <v>727957.48</v>
      </c>
      <c r="J306">
        <f t="shared" si="12"/>
        <v>691878.52099220001</v>
      </c>
      <c r="K306">
        <f t="shared" si="13"/>
        <v>36078.959007799975</v>
      </c>
      <c r="L306">
        <f t="shared" si="14"/>
        <v>1301691283.0865109</v>
      </c>
    </row>
    <row r="307" spans="1:12">
      <c r="A307">
        <v>46146.239999999998</v>
      </c>
      <c r="B307">
        <v>5804</v>
      </c>
      <c r="C307">
        <v>4.7E-2</v>
      </c>
      <c r="D307">
        <v>16</v>
      </c>
      <c r="E307">
        <v>86.9</v>
      </c>
      <c r="F307">
        <v>15.82</v>
      </c>
      <c r="G307">
        <v>0</v>
      </c>
      <c r="H307">
        <v>3.8</v>
      </c>
      <c r="I307">
        <v>538376</v>
      </c>
      <c r="J307">
        <f t="shared" si="12"/>
        <v>611060.79460639996</v>
      </c>
      <c r="K307">
        <f t="shared" si="13"/>
        <v>-72684.794606399955</v>
      </c>
      <c r="L307">
        <f t="shared" si="14"/>
        <v>5283079366.9745483</v>
      </c>
    </row>
    <row r="308" spans="1:12">
      <c r="A308">
        <v>22387.26</v>
      </c>
      <c r="B308">
        <v>6301</v>
      </c>
      <c r="C308">
        <v>0.14599999999999999</v>
      </c>
      <c r="D308">
        <v>14</v>
      </c>
      <c r="E308">
        <v>85.9</v>
      </c>
      <c r="F308">
        <v>1.17</v>
      </c>
      <c r="G308">
        <v>1</v>
      </c>
      <c r="H308">
        <v>3.7</v>
      </c>
      <c r="I308">
        <v>665342.49</v>
      </c>
      <c r="J308">
        <f t="shared" si="12"/>
        <v>634723.88832860009</v>
      </c>
      <c r="K308">
        <f t="shared" si="13"/>
        <v>30618.601671399898</v>
      </c>
      <c r="L308">
        <f t="shared" si="14"/>
        <v>937498768.31185257</v>
      </c>
    </row>
    <row r="309" spans="1:12">
      <c r="A309">
        <v>60684.05</v>
      </c>
      <c r="B309">
        <v>6399</v>
      </c>
      <c r="C309">
        <v>7.4999999999999997E-2</v>
      </c>
      <c r="D309">
        <v>16</v>
      </c>
      <c r="E309">
        <v>99</v>
      </c>
      <c r="F309">
        <v>3.82</v>
      </c>
      <c r="G309">
        <v>0</v>
      </c>
      <c r="H309">
        <v>3.5</v>
      </c>
      <c r="I309">
        <v>651164.18000000005</v>
      </c>
      <c r="J309">
        <f t="shared" si="12"/>
        <v>710576.74452049995</v>
      </c>
      <c r="K309">
        <f t="shared" si="13"/>
        <v>-59412.564520499902</v>
      </c>
      <c r="L309">
        <f t="shared" si="14"/>
        <v>3529852822.9025636</v>
      </c>
    </row>
    <row r="310" spans="1:12">
      <c r="A310">
        <v>48465.599999999999</v>
      </c>
      <c r="B310">
        <v>5759</v>
      </c>
      <c r="C310">
        <v>0.154</v>
      </c>
      <c r="D310">
        <v>13</v>
      </c>
      <c r="E310">
        <v>87.5</v>
      </c>
      <c r="F310">
        <v>4.1399999999999997</v>
      </c>
      <c r="G310">
        <v>0</v>
      </c>
      <c r="H310">
        <v>4</v>
      </c>
      <c r="I310">
        <v>628538.30000000005</v>
      </c>
      <c r="J310">
        <f t="shared" si="12"/>
        <v>633227.8010160001</v>
      </c>
      <c r="K310">
        <f t="shared" si="13"/>
        <v>-4689.5010160000529</v>
      </c>
      <c r="L310">
        <f t="shared" si="14"/>
        <v>21991419.779065527</v>
      </c>
    </row>
    <row r="311" spans="1:12">
      <c r="A311">
        <v>23702.38</v>
      </c>
      <c r="B311">
        <v>5285</v>
      </c>
      <c r="C311">
        <v>0.16700000000000001</v>
      </c>
      <c r="D311">
        <v>14</v>
      </c>
      <c r="E311">
        <v>79.7</v>
      </c>
      <c r="F311">
        <v>1.1000000000000001</v>
      </c>
      <c r="G311">
        <v>0</v>
      </c>
      <c r="H311">
        <v>4.3</v>
      </c>
      <c r="I311">
        <v>536524.84</v>
      </c>
      <c r="J311">
        <f t="shared" si="12"/>
        <v>581409.94575180009</v>
      </c>
      <c r="K311">
        <f t="shared" si="13"/>
        <v>-44885.105751800118</v>
      </c>
      <c r="L311">
        <f t="shared" si="14"/>
        <v>2014672718.35028</v>
      </c>
    </row>
    <row r="312" spans="1:12">
      <c r="A312">
        <v>54322.94</v>
      </c>
      <c r="B312">
        <v>5434</v>
      </c>
      <c r="C312">
        <v>0.2</v>
      </c>
      <c r="D312">
        <v>13</v>
      </c>
      <c r="E312">
        <v>85.7</v>
      </c>
      <c r="F312">
        <v>10.6</v>
      </c>
      <c r="G312">
        <v>0</v>
      </c>
      <c r="H312">
        <v>4.2</v>
      </c>
      <c r="I312">
        <v>621677.30000000005</v>
      </c>
      <c r="J312">
        <f t="shared" si="12"/>
        <v>605837.07389339991</v>
      </c>
      <c r="K312">
        <f t="shared" si="13"/>
        <v>15840.226106600137</v>
      </c>
      <c r="L312">
        <f t="shared" si="14"/>
        <v>250912763.10821655</v>
      </c>
    </row>
    <row r="313" spans="1:12">
      <c r="A313">
        <v>86026.58</v>
      </c>
      <c r="B313">
        <v>7479</v>
      </c>
      <c r="C313">
        <v>0.14199999999999999</v>
      </c>
      <c r="D313">
        <v>20</v>
      </c>
      <c r="E313">
        <v>89</v>
      </c>
      <c r="F313">
        <v>0.9</v>
      </c>
      <c r="G313">
        <v>0</v>
      </c>
      <c r="H313">
        <f>3.924</f>
        <v>3.9239999999999999</v>
      </c>
      <c r="I313">
        <v>771129.07</v>
      </c>
      <c r="J313">
        <f t="shared" si="12"/>
        <v>761185.28511379997</v>
      </c>
      <c r="K313">
        <f t="shared" si="13"/>
        <v>9943.784886199981</v>
      </c>
      <c r="L313">
        <f t="shared" si="14"/>
        <v>98878857.863019168</v>
      </c>
    </row>
    <row r="314" spans="1:12">
      <c r="A314">
        <v>78967.520000000004</v>
      </c>
      <c r="B314">
        <v>6164</v>
      </c>
      <c r="C314">
        <v>2.1000000000000001E-2</v>
      </c>
      <c r="D314">
        <v>16</v>
      </c>
      <c r="E314">
        <v>85.5</v>
      </c>
      <c r="F314">
        <v>0.2</v>
      </c>
      <c r="G314">
        <v>0</v>
      </c>
      <c r="H314">
        <v>3.4</v>
      </c>
      <c r="I314">
        <v>702052.47</v>
      </c>
      <c r="J314">
        <f t="shared" si="12"/>
        <v>698663.86638719996</v>
      </c>
      <c r="K314">
        <f t="shared" si="13"/>
        <v>3388.6036128000123</v>
      </c>
      <c r="L314">
        <f t="shared" si="14"/>
        <v>11482634.444681296</v>
      </c>
    </row>
    <row r="315" spans="1:12">
      <c r="A315">
        <v>46767.99</v>
      </c>
      <c r="B315">
        <v>7973</v>
      </c>
      <c r="C315">
        <v>0.183</v>
      </c>
      <c r="D315">
        <v>18</v>
      </c>
      <c r="E315">
        <v>94.8</v>
      </c>
      <c r="F315">
        <v>4.67</v>
      </c>
      <c r="G315">
        <v>0</v>
      </c>
      <c r="H315">
        <f>3.924</f>
        <v>3.9239999999999999</v>
      </c>
      <c r="I315">
        <v>688368.46</v>
      </c>
      <c r="J315">
        <f t="shared" si="12"/>
        <v>725719.47822389996</v>
      </c>
      <c r="K315">
        <f t="shared" si="13"/>
        <v>-37351.018223899999</v>
      </c>
      <c r="L315">
        <f t="shared" si="14"/>
        <v>1395098562.3621099</v>
      </c>
    </row>
    <row r="316" spans="1:12">
      <c r="A316">
        <v>62507.16</v>
      </c>
      <c r="B316">
        <v>6000</v>
      </c>
      <c r="C316">
        <v>9.0999999999999998E-2</v>
      </c>
      <c r="D316">
        <v>14</v>
      </c>
      <c r="E316">
        <v>98.2</v>
      </c>
      <c r="F316">
        <v>4.38</v>
      </c>
      <c r="G316">
        <v>1</v>
      </c>
      <c r="H316">
        <v>3.9</v>
      </c>
      <c r="I316">
        <v>712375.77</v>
      </c>
      <c r="J316">
        <f t="shared" si="12"/>
        <v>707448.79196759989</v>
      </c>
      <c r="K316">
        <f t="shared" si="13"/>
        <v>4926.9780324001331</v>
      </c>
      <c r="L316">
        <f t="shared" si="14"/>
        <v>24275112.531753488</v>
      </c>
    </row>
    <row r="317" spans="1:12">
      <c r="A317">
        <v>66456.28</v>
      </c>
      <c r="B317">
        <v>9967</v>
      </c>
      <c r="C317">
        <v>0.108</v>
      </c>
      <c r="D317">
        <v>20</v>
      </c>
      <c r="E317">
        <v>94.7</v>
      </c>
      <c r="F317">
        <v>4.4800000000000004</v>
      </c>
      <c r="G317">
        <v>0</v>
      </c>
      <c r="H317">
        <v>4.2</v>
      </c>
      <c r="I317">
        <v>844710.67</v>
      </c>
      <c r="J317">
        <f t="shared" si="12"/>
        <v>819316.73513079993</v>
      </c>
      <c r="K317">
        <f t="shared" si="13"/>
        <v>25393.934869200108</v>
      </c>
      <c r="L317">
        <f t="shared" si="14"/>
        <v>644851928.14117706</v>
      </c>
    </row>
    <row r="318" spans="1:12">
      <c r="A318">
        <v>76614.320000000007</v>
      </c>
      <c r="B318">
        <v>5639</v>
      </c>
      <c r="C318">
        <v>0.17399999999999999</v>
      </c>
      <c r="D318">
        <v>15</v>
      </c>
      <c r="E318">
        <v>92.9</v>
      </c>
      <c r="F318">
        <v>1.02</v>
      </c>
      <c r="G318">
        <v>1</v>
      </c>
      <c r="H318">
        <v>4</v>
      </c>
      <c r="I318">
        <v>620264.19999999995</v>
      </c>
      <c r="J318">
        <f t="shared" si="12"/>
        <v>706128.27093519992</v>
      </c>
      <c r="K318">
        <f t="shared" si="13"/>
        <v>-85864.070935199969</v>
      </c>
      <c r="L318">
        <f t="shared" si="14"/>
        <v>7372638677.565052</v>
      </c>
    </row>
    <row r="319" spans="1:12">
      <c r="A319">
        <v>24088.06</v>
      </c>
      <c r="B319">
        <v>3466</v>
      </c>
      <c r="C319">
        <v>0</v>
      </c>
      <c r="D319">
        <v>11</v>
      </c>
      <c r="E319">
        <v>88</v>
      </c>
      <c r="F319">
        <v>0.2</v>
      </c>
      <c r="G319">
        <v>0</v>
      </c>
      <c r="H319">
        <v>3.8</v>
      </c>
      <c r="I319">
        <v>536845.42000000004</v>
      </c>
      <c r="J319">
        <f t="shared" si="12"/>
        <v>556177.9728166</v>
      </c>
      <c r="K319">
        <f t="shared" si="13"/>
        <v>-19332.552816599957</v>
      </c>
      <c r="L319">
        <f t="shared" si="14"/>
        <v>373747598.40662694</v>
      </c>
    </row>
    <row r="320" spans="1:12">
      <c r="A320">
        <v>81902.58</v>
      </c>
      <c r="B320">
        <v>7775</v>
      </c>
      <c r="C320">
        <v>0.215</v>
      </c>
      <c r="D320">
        <v>20</v>
      </c>
      <c r="E320">
        <v>85.2</v>
      </c>
      <c r="F320">
        <v>4.8899999999999997</v>
      </c>
      <c r="G320">
        <v>1</v>
      </c>
      <c r="H320">
        <v>4.2</v>
      </c>
      <c r="I320">
        <v>726776.22</v>
      </c>
      <c r="J320">
        <f t="shared" si="12"/>
        <v>752250.8558738</v>
      </c>
      <c r="K320">
        <f t="shared" si="13"/>
        <v>-25474.635873800027</v>
      </c>
      <c r="L320">
        <f t="shared" si="14"/>
        <v>648957072.90269923</v>
      </c>
    </row>
    <row r="321" spans="1:12">
      <c r="A321">
        <v>40553.11</v>
      </c>
      <c r="B321">
        <v>5317</v>
      </c>
      <c r="C321">
        <v>0.16500000000000001</v>
      </c>
      <c r="D321">
        <v>17</v>
      </c>
      <c r="E321">
        <v>84.3</v>
      </c>
      <c r="F321">
        <v>11.82</v>
      </c>
      <c r="G321">
        <v>0</v>
      </c>
      <c r="H321">
        <v>4.0999999999999996</v>
      </c>
      <c r="I321">
        <v>559660.84</v>
      </c>
      <c r="J321">
        <f t="shared" si="12"/>
        <v>592357.43374709995</v>
      </c>
      <c r="K321">
        <f t="shared" si="13"/>
        <v>-32696.593747099978</v>
      </c>
      <c r="L321">
        <f t="shared" si="14"/>
        <v>1069067242.6628973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14728-53AD-46B3-9BA6-5E33D9192466}">
  <dimension ref="A1:C15"/>
  <sheetViews>
    <sheetView topLeftCell="A2" zoomScale="69" workbookViewId="0">
      <selection activeCell="E13" sqref="E13"/>
    </sheetView>
  </sheetViews>
  <sheetFormatPr defaultRowHeight="14"/>
  <cols>
    <col min="1" max="1" width="21.1640625" customWidth="1"/>
    <col min="2" max="2" width="23.4140625" customWidth="1"/>
    <col min="3" max="3" width="28.58203125" customWidth="1"/>
    <col min="5" max="5" width="8.6640625" customWidth="1"/>
  </cols>
  <sheetData>
    <row r="1" spans="1:3">
      <c r="A1" s="10" t="s">
        <v>150</v>
      </c>
      <c r="B1" s="10" t="s">
        <v>151</v>
      </c>
      <c r="C1" s="10" t="s">
        <v>152</v>
      </c>
    </row>
    <row r="2" spans="1:3">
      <c r="A2" s="12" t="s">
        <v>153</v>
      </c>
      <c r="B2" s="12" t="s">
        <v>154</v>
      </c>
      <c r="C2" s="12" t="s">
        <v>155</v>
      </c>
    </row>
    <row r="3" spans="1:3">
      <c r="A3" s="11" t="s">
        <v>126</v>
      </c>
      <c r="B3" s="11">
        <v>0.40895599999999999</v>
      </c>
      <c r="C3" s="11">
        <v>0.91020599999999996</v>
      </c>
    </row>
    <row r="4" spans="1:3">
      <c r="A4" s="11" t="s">
        <v>127</v>
      </c>
      <c r="B4" s="11">
        <v>0.167245</v>
      </c>
      <c r="C4" s="11">
        <v>0.82847599999999999</v>
      </c>
    </row>
    <row r="5" spans="1:3">
      <c r="A5" s="11" t="s">
        <v>128</v>
      </c>
      <c r="B5" s="11">
        <v>0.16462599999999999</v>
      </c>
      <c r="C5" s="11">
        <v>0.82406299999999999</v>
      </c>
    </row>
    <row r="6" spans="1:3">
      <c r="A6" s="11" t="s">
        <v>129</v>
      </c>
      <c r="B6" s="11">
        <v>94846.03</v>
      </c>
      <c r="C6" s="11">
        <v>43526.8</v>
      </c>
    </row>
    <row r="7" spans="1:3">
      <c r="A7" s="11" t="s">
        <v>130</v>
      </c>
      <c r="B7" s="11">
        <v>320</v>
      </c>
      <c r="C7" s="11">
        <v>320</v>
      </c>
    </row>
    <row r="8" spans="1:3">
      <c r="A8" s="11" t="s">
        <v>140</v>
      </c>
      <c r="B8" s="13">
        <v>2.4800600000000002E-14</v>
      </c>
      <c r="C8" s="13">
        <v>3.2203999999999999E-114</v>
      </c>
    </row>
    <row r="11" spans="1:3" ht="28">
      <c r="A11" s="10" t="s">
        <v>153</v>
      </c>
      <c r="B11" s="10" t="s">
        <v>156</v>
      </c>
      <c r="C11" s="10" t="s">
        <v>157</v>
      </c>
    </row>
    <row r="12" spans="1:3" ht="70">
      <c r="A12" s="11" t="s">
        <v>158</v>
      </c>
      <c r="B12" s="11" t="s">
        <v>155</v>
      </c>
      <c r="C12" s="11" t="s">
        <v>159</v>
      </c>
    </row>
    <row r="13" spans="1:3" ht="84">
      <c r="A13" s="11" t="s">
        <v>160</v>
      </c>
      <c r="B13" s="11" t="s">
        <v>155</v>
      </c>
      <c r="C13" s="11" t="s">
        <v>161</v>
      </c>
    </row>
    <row r="14" spans="1:3" ht="84">
      <c r="A14" s="11" t="s">
        <v>162</v>
      </c>
      <c r="B14" s="11" t="s">
        <v>163</v>
      </c>
      <c r="C14" s="11" t="s">
        <v>164</v>
      </c>
    </row>
    <row r="15" spans="1:3" ht="98">
      <c r="A15" s="11" t="s">
        <v>165</v>
      </c>
      <c r="B15" s="11" t="s">
        <v>155</v>
      </c>
      <c r="C15" s="11" t="s">
        <v>166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C65F0-2183-4082-B875-C163E1F887CB}">
  <dimension ref="A1:K321"/>
  <sheetViews>
    <sheetView workbookViewId="0">
      <selection activeCell="L3" sqref="L3"/>
    </sheetView>
  </sheetViews>
  <sheetFormatPr defaultRowHeight="14"/>
  <sheetData>
    <row r="1" spans="1:11" ht="4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167</v>
      </c>
      <c r="K1" s="1" t="s">
        <v>133</v>
      </c>
    </row>
    <row r="2" spans="1:11">
      <c r="A2">
        <v>70389.11</v>
      </c>
      <c r="B2">
        <v>8302</v>
      </c>
      <c r="C2">
        <v>4.2000000000000003E-2</v>
      </c>
      <c r="D2">
        <v>17</v>
      </c>
      <c r="E2">
        <v>75</v>
      </c>
      <c r="F2">
        <v>5.28</v>
      </c>
      <c r="G2">
        <v>1</v>
      </c>
      <c r="H2">
        <v>3.1</v>
      </c>
      <c r="I2">
        <v>658832.62</v>
      </c>
      <c r="J2">
        <f>95006.4+(1.18561*A2)+(27.858*B2)+(-72102*C2)+(3084.08*D2)+(2989.33*E2)+(-2890.2*F2)+(12984.1*G2)+(10433.9*H2)</f>
        <v>713407.30870709987</v>
      </c>
      <c r="K2">
        <f>I2-J2</f>
        <v>-54574.688707099878</v>
      </c>
    </row>
    <row r="3" spans="1:11">
      <c r="A3">
        <v>43827.89</v>
      </c>
      <c r="B3">
        <v>8487</v>
      </c>
      <c r="C3">
        <v>0.16800000000000001</v>
      </c>
      <c r="D3">
        <v>23</v>
      </c>
      <c r="E3">
        <v>84.4</v>
      </c>
      <c r="F3">
        <v>4.3099999999999996</v>
      </c>
      <c r="G3">
        <v>0</v>
      </c>
      <c r="H3">
        <v>2.8</v>
      </c>
      <c r="I3">
        <v>634436</v>
      </c>
      <c r="J3">
        <f>95006.4+(1.18561*A3)+(27.858*B3)+(-72102*C3)+(3084.08*D3)+(2989.33*E3)+(-2890.2*F3)+(12984.1*G3)+(10433.9*H3)</f>
        <v>711278.34466290008</v>
      </c>
      <c r="K3">
        <f>I3-J3</f>
        <v>-76842.344662900083</v>
      </c>
    </row>
    <row r="4" spans="1:11">
      <c r="A4">
        <v>59921.75</v>
      </c>
      <c r="B4">
        <v>9113</v>
      </c>
      <c r="C4">
        <v>0.13300000000000001</v>
      </c>
      <c r="D4">
        <v>20</v>
      </c>
      <c r="E4">
        <v>88</v>
      </c>
      <c r="F4">
        <v>12</v>
      </c>
      <c r="G4">
        <v>0</v>
      </c>
      <c r="H4">
        <v>3.2</v>
      </c>
      <c r="I4">
        <v>678722.06</v>
      </c>
      <c r="J4">
        <f>95006.4+(1.18561*A4)+(27.858*B4)+(-72102*C4)+(3084.08*D4)+(2989.33*E4)+(-2890.2*F4)+(12984.1*G4)+(10433.9*H4)</f>
        <v>733779.33401749993</v>
      </c>
      <c r="K4">
        <f>I4-J4</f>
        <v>-55057.274017499876</v>
      </c>
    </row>
    <row r="5" spans="1:11">
      <c r="A5">
        <v>56856.63</v>
      </c>
      <c r="B5">
        <v>9431</v>
      </c>
      <c r="C5">
        <v>0.14199999999999999</v>
      </c>
      <c r="D5">
        <v>23</v>
      </c>
      <c r="E5">
        <v>86.9</v>
      </c>
      <c r="F5">
        <v>4.97</v>
      </c>
      <c r="G5">
        <v>0</v>
      </c>
      <c r="H5">
        <v>3.4</v>
      </c>
      <c r="I5">
        <v>658920.30000000005</v>
      </c>
      <c r="J5">
        <f>95006.4+(1.18561*A5)+(27.858*B5)+(-72102*C5)+(3084.08*D5)+(2989.33*E5)+(-2890.2*F5)+(12984.1*G5)+(10433.9*H5)</f>
        <v>766724.08609430003</v>
      </c>
      <c r="K5">
        <f>I5-J5</f>
        <v>-107803.78609429998</v>
      </c>
    </row>
    <row r="6" spans="1:11">
      <c r="A6">
        <v>48412.639999999999</v>
      </c>
      <c r="B6">
        <v>9545</v>
      </c>
      <c r="C6">
        <v>0.23100000000000001</v>
      </c>
      <c r="D6">
        <v>21</v>
      </c>
      <c r="E6">
        <v>97.6</v>
      </c>
      <c r="F6">
        <v>6.94</v>
      </c>
      <c r="G6">
        <v>1</v>
      </c>
      <c r="H6">
        <v>4.2</v>
      </c>
      <c r="I6">
        <v>741341.44</v>
      </c>
      <c r="J6">
        <f>95006.4+(1.18561*A6)+(27.858*B6)+(-72102*C6)+(3084.08*D6)+(2989.33*E6)+(-2890.2*F6)+(12984.1*G6)+(10433.9*H6)</f>
        <v>794926.73811039992</v>
      </c>
      <c r="K6">
        <f>I6-J6</f>
        <v>-53585.298110399977</v>
      </c>
    </row>
    <row r="7" spans="1:11">
      <c r="A7">
        <v>64811.21</v>
      </c>
      <c r="B7">
        <v>9792</v>
      </c>
      <c r="C7">
        <v>0.112</v>
      </c>
      <c r="D7">
        <v>20</v>
      </c>
      <c r="E7">
        <v>84.2</v>
      </c>
      <c r="F7">
        <v>2.88</v>
      </c>
      <c r="G7">
        <v>0</v>
      </c>
      <c r="H7">
        <v>4.2</v>
      </c>
      <c r="I7">
        <v>761835.34</v>
      </c>
      <c r="J7">
        <f>95006.4+(1.18561*A7)+(27.858*B7)+(-72102*C7)+(3084.08*D7)+(2989.33*E7)+(-2890.2*F7)+(12984.1*G7)+(10433.9*H7)</f>
        <v>785439.12068810011</v>
      </c>
      <c r="K7">
        <f>I7-J7</f>
        <v>-23603.780688100145</v>
      </c>
    </row>
    <row r="8" spans="1:11">
      <c r="A8">
        <v>46213.45</v>
      </c>
      <c r="B8">
        <v>10616</v>
      </c>
      <c r="C8">
        <v>0.122</v>
      </c>
      <c r="D8">
        <v>22</v>
      </c>
      <c r="E8">
        <v>85.2</v>
      </c>
      <c r="F8">
        <v>0.2</v>
      </c>
      <c r="G8">
        <v>1</v>
      </c>
      <c r="H8">
        <v>4.0999999999999996</v>
      </c>
      <c r="I8">
        <v>806615.54</v>
      </c>
      <c r="J8">
        <f>95006.4+(1.18561*A8)+(27.858*B8)+(-72102*C8)+(3084.08*D8)+(2989.33*E8)+(-2890.2*F8)+(12984.1*G8)+(10433.9*H8)</f>
        <v>814467.33845449984</v>
      </c>
      <c r="K8">
        <f>I8-J8</f>
        <v>-7851.7984544998035</v>
      </c>
    </row>
    <row r="9" spans="1:11">
      <c r="A9">
        <v>68148.52</v>
      </c>
      <c r="B9">
        <v>8567</v>
      </c>
      <c r="C9">
        <v>0.127</v>
      </c>
      <c r="D9">
        <v>23</v>
      </c>
      <c r="E9">
        <v>95.6</v>
      </c>
      <c r="F9">
        <v>0.8</v>
      </c>
      <c r="G9">
        <v>0</v>
      </c>
      <c r="H9">
        <v>3.9</v>
      </c>
      <c r="I9">
        <v>850164.26</v>
      </c>
      <c r="J9">
        <f>95006.4+(1.18561*A9)+(27.858*B9)+(-72102*C9)+(3084.08*D9)+(2989.33*E9)+(-2890.2*F9)+(12984.1*G9)+(10433.9*H9)</f>
        <v>800400.33679719991</v>
      </c>
      <c r="K9">
        <f>I9-J9</f>
        <v>49763.923202800099</v>
      </c>
    </row>
    <row r="10" spans="1:11">
      <c r="A10">
        <v>71838.86</v>
      </c>
      <c r="B10">
        <v>10979</v>
      </c>
      <c r="C10">
        <v>0.215</v>
      </c>
      <c r="D10">
        <v>26</v>
      </c>
      <c r="E10">
        <v>88.6</v>
      </c>
      <c r="F10">
        <v>7.7</v>
      </c>
      <c r="G10">
        <v>1</v>
      </c>
      <c r="H10">
        <v>3.8</v>
      </c>
      <c r="I10">
        <v>930581.7</v>
      </c>
      <c r="J10">
        <f>95006.4+(1.18561*A10)+(27.858*B10)+(-72102*C10)+(3084.08*D10)+(2989.33*E10)+(-2890.2*F10)+(12984.1*G10)+(10433.9*H10)</f>
        <v>845949.4208046</v>
      </c>
      <c r="K10">
        <f>I10-J10</f>
        <v>84632.279195399955</v>
      </c>
    </row>
    <row r="11" spans="1:11">
      <c r="A11">
        <v>68133.440000000002</v>
      </c>
      <c r="B11">
        <v>9459</v>
      </c>
      <c r="C11">
        <v>0.22</v>
      </c>
      <c r="D11">
        <v>21</v>
      </c>
      <c r="E11">
        <v>85</v>
      </c>
      <c r="F11">
        <v>1.91</v>
      </c>
      <c r="G11">
        <v>0</v>
      </c>
      <c r="H11">
        <v>4.2</v>
      </c>
      <c r="I11">
        <v>779010.94</v>
      </c>
      <c r="J11">
        <f>95006.4+(1.18561*A11)+(27.858*B11)+(-72102*C11)+(3084.08*D11)+(2989.33*E11)+(-2890.2*F11)+(12984.1*G11)+(10433.9*H11)</f>
        <v>780593.29779840005</v>
      </c>
      <c r="K11">
        <f>I11-J11</f>
        <v>-1582.3577984001022</v>
      </c>
    </row>
    <row r="12" spans="1:11">
      <c r="A12">
        <v>34285.21</v>
      </c>
      <c r="B12">
        <v>9172</v>
      </c>
      <c r="C12">
        <v>0.21299999999999999</v>
      </c>
      <c r="D12">
        <v>22</v>
      </c>
      <c r="E12">
        <v>88.3</v>
      </c>
      <c r="F12">
        <v>10.46</v>
      </c>
      <c r="G12">
        <v>1</v>
      </c>
      <c r="H12">
        <v>3.8</v>
      </c>
      <c r="I12">
        <v>723060.76</v>
      </c>
      <c r="J12">
        <f>95006.4+(1.18561*A12)+(27.858*B12)+(-72102*C12)+(3084.08*D12)+(2989.33*E12)+(-2890.2*F12)+(12984.1*G12)+(10433.9*H12)</f>
        <v>730020.16482809989</v>
      </c>
      <c r="K12">
        <f>I12-J12</f>
        <v>-6959.4048280998832</v>
      </c>
    </row>
    <row r="13" spans="1:11">
      <c r="A13">
        <v>67979.88</v>
      </c>
      <c r="B13">
        <v>11230</v>
      </c>
      <c r="C13">
        <v>2E-3</v>
      </c>
      <c r="D13">
        <v>28</v>
      </c>
      <c r="E13">
        <v>85.3</v>
      </c>
      <c r="F13">
        <v>7.16</v>
      </c>
      <c r="G13">
        <v>0</v>
      </c>
      <c r="H13">
        <v>3.8</v>
      </c>
      <c r="I13">
        <v>910791.94</v>
      </c>
      <c r="J13">
        <f>95006.4+(1.18561*A13)+(27.858*B13)+(-72102*C13)+(3084.08*D13)+(2989.33*E13)+(-2890.2*F13)+(12984.1*G13)+(10433.9*H13)</f>
        <v>848604.23852679995</v>
      </c>
      <c r="K13">
        <f>I13-J13</f>
        <v>62187.701473199995</v>
      </c>
    </row>
    <row r="14" spans="1:11">
      <c r="A14">
        <v>71828.259999999995</v>
      </c>
      <c r="B14">
        <v>12775</v>
      </c>
      <c r="C14">
        <v>0.11600000000000001</v>
      </c>
      <c r="D14">
        <v>30</v>
      </c>
      <c r="E14">
        <v>81.7</v>
      </c>
      <c r="F14">
        <v>4.24</v>
      </c>
      <c r="G14">
        <v>1</v>
      </c>
      <c r="H14">
        <v>4.2</v>
      </c>
      <c r="I14">
        <v>922168.6</v>
      </c>
      <c r="J14">
        <f>95006.4+(1.18561*A14)+(27.858*B14)+(-72102*C14)+(3084.08*D14)+(2989.33*E14)+(-2890.2*F14)+(12984.1*G14)+(10433.9*H14)</f>
        <v>908991.51433859987</v>
      </c>
      <c r="K14">
        <f>I14-J14</f>
        <v>13177.08566140011</v>
      </c>
    </row>
    <row r="15" spans="1:11">
      <c r="A15">
        <v>55716.82</v>
      </c>
      <c r="B15">
        <v>10054</v>
      </c>
      <c r="C15">
        <v>0.14599999999999999</v>
      </c>
      <c r="D15">
        <v>24</v>
      </c>
      <c r="E15">
        <v>84.9</v>
      </c>
      <c r="F15">
        <v>1.06</v>
      </c>
      <c r="G15">
        <v>0</v>
      </c>
      <c r="H15">
        <v>4.3</v>
      </c>
      <c r="I15">
        <v>726606.28</v>
      </c>
      <c r="J15">
        <f>95006.4+(1.18561*A15)+(27.858*B15)+(-72102*C15)+(3084.08*D15)+(2989.33*E15)+(-2890.2*F15)+(12984.1*G15)+(10433.9*H15)</f>
        <v>800236.45396020007</v>
      </c>
      <c r="K15">
        <f>I15-J15</f>
        <v>-73630.173960200045</v>
      </c>
    </row>
    <row r="16" spans="1:11">
      <c r="A16">
        <v>59909.51</v>
      </c>
      <c r="B16">
        <v>8895</v>
      </c>
      <c r="C16">
        <v>0.22800000000000001</v>
      </c>
      <c r="D16">
        <v>23</v>
      </c>
      <c r="E16">
        <v>88.8</v>
      </c>
      <c r="F16">
        <v>0.27</v>
      </c>
      <c r="G16">
        <v>0</v>
      </c>
      <c r="H16">
        <v>4.3</v>
      </c>
      <c r="I16">
        <v>746501.09</v>
      </c>
      <c r="J16">
        <f>95006.4+(1.18561*A16)+(27.858*B16)+(-72102*C16)+(3084.08*D16)+(2989.33*E16)+(-2890.2*F16)+(12984.1*G16)+(10433.9*H16)</f>
        <v>777865.1281510999</v>
      </c>
      <c r="K16">
        <f>I16-J16</f>
        <v>-31364.038151099929</v>
      </c>
    </row>
    <row r="17" spans="1:11">
      <c r="A17">
        <v>75305.710000000006</v>
      </c>
      <c r="B17">
        <v>10940</v>
      </c>
      <c r="C17">
        <v>6.0000000000000001E-3</v>
      </c>
      <c r="D17">
        <v>26</v>
      </c>
      <c r="E17">
        <v>76.5</v>
      </c>
      <c r="F17">
        <v>1.32</v>
      </c>
      <c r="G17">
        <v>0</v>
      </c>
      <c r="H17">
        <v>4.5</v>
      </c>
      <c r="I17">
        <v>834017.02</v>
      </c>
      <c r="J17">
        <f>95006.4+(1.18561*A17)+(27.858*B17)+(-72102*C17)+(3084.08*D17)+(2989.33*E17)+(-2890.2*F17)+(12984.1*G17)+(10433.9*H17)</f>
        <v>840630.82183310005</v>
      </c>
      <c r="K17">
        <f>I17-J17</f>
        <v>-6613.8018331000349</v>
      </c>
    </row>
    <row r="18" spans="1:11">
      <c r="A18">
        <v>48804.22</v>
      </c>
      <c r="B18">
        <v>7057</v>
      </c>
      <c r="C18">
        <v>5.0000000000000001E-3</v>
      </c>
      <c r="D18">
        <v>15</v>
      </c>
      <c r="E18">
        <v>87.7</v>
      </c>
      <c r="F18">
        <v>1.22</v>
      </c>
      <c r="G18">
        <v>0</v>
      </c>
      <c r="H18">
        <v>3.7</v>
      </c>
      <c r="I18">
        <v>666152.52</v>
      </c>
      <c r="J18">
        <f>95006.4+(1.18561*A18)+(27.858*B18)+(-72102*C18)+(3084.08*D18)+(2989.33*E18)+(-2890.2*F18)+(12984.1*G18)+(10433.9*H18)</f>
        <v>692607.39427420008</v>
      </c>
      <c r="K18">
        <f>I18-J18</f>
        <v>-26454.874274200061</v>
      </c>
    </row>
    <row r="19" spans="1:11">
      <c r="A19">
        <v>59117.9</v>
      </c>
      <c r="B19">
        <v>4263</v>
      </c>
      <c r="C19">
        <v>0.11899999999999999</v>
      </c>
      <c r="D19">
        <v>9</v>
      </c>
      <c r="E19">
        <v>87.6</v>
      </c>
      <c r="F19">
        <v>4.01</v>
      </c>
      <c r="G19">
        <v>0</v>
      </c>
      <c r="H19">
        <v>3.6</v>
      </c>
      <c r="I19">
        <v>573155.18999999994</v>
      </c>
      <c r="J19">
        <f>95006.4+(1.18561*A19)+(27.858*B19)+(-72102*C19)+(3084.08*D19)+(2989.33*E19)+(-2890.2*F19)+(12984.1*G19)+(10433.9*H19)</f>
        <v>590870.05541899998</v>
      </c>
      <c r="K19">
        <f>I19-J19</f>
        <v>-17714.865419000038</v>
      </c>
    </row>
    <row r="20" spans="1:11">
      <c r="A20">
        <v>78831.12</v>
      </c>
      <c r="B20">
        <v>5538</v>
      </c>
      <c r="C20">
        <v>0</v>
      </c>
      <c r="D20">
        <v>15</v>
      </c>
      <c r="E20">
        <v>94.1</v>
      </c>
      <c r="F20">
        <v>0.2</v>
      </c>
      <c r="G20">
        <v>0</v>
      </c>
      <c r="H20">
        <v>3.9</v>
      </c>
      <c r="I20">
        <v>666573.19999999995</v>
      </c>
      <c r="J20">
        <f>95006.4+(1.18561*A20)+(27.858*B20)+(-72102*C20)+(3084.08*D20)+(2989.33*E20)+(-2890.2*F20)+(12984.1*G20)+(10433.9*H20)</f>
        <v>710418.29118319997</v>
      </c>
      <c r="K20">
        <f>I20-J20</f>
        <v>-43845.091183200013</v>
      </c>
    </row>
    <row r="21" spans="1:11">
      <c r="A21">
        <v>41441.93</v>
      </c>
      <c r="B21">
        <v>4865</v>
      </c>
      <c r="C21">
        <v>0.158</v>
      </c>
      <c r="D21">
        <v>16</v>
      </c>
      <c r="E21">
        <v>88.3</v>
      </c>
      <c r="F21">
        <v>0.5</v>
      </c>
      <c r="G21">
        <v>0</v>
      </c>
      <c r="H21">
        <v>4</v>
      </c>
      <c r="I21">
        <v>591619.94999999995</v>
      </c>
      <c r="J21">
        <f>95006.4+(1.18561*A21)+(27.858*B21)+(-72102*C21)+(3084.08*D21)+(2989.33*E21)+(-2890.2*F21)+(12984.1*G21)+(10433.9*H21)</f>
        <v>621871.03962729988</v>
      </c>
      <c r="K21">
        <f>I21-J21</f>
        <v>-30251.089627299923</v>
      </c>
    </row>
    <row r="22" spans="1:11">
      <c r="A22">
        <v>30356.28</v>
      </c>
      <c r="B22">
        <v>2822</v>
      </c>
      <c r="C22">
        <v>0.23100000000000001</v>
      </c>
      <c r="D22">
        <v>9</v>
      </c>
      <c r="E22">
        <v>84.8</v>
      </c>
      <c r="F22">
        <v>6.95</v>
      </c>
      <c r="G22">
        <v>0</v>
      </c>
      <c r="H22">
        <v>5</v>
      </c>
      <c r="I22">
        <v>415721.82</v>
      </c>
      <c r="J22">
        <f>95006.4+(1.18561*A22)+(27.858*B22)+(-72102*C22)+(3084.08*D22)+(2989.33*E22)+(-2890.2*F22)+(12984.1*G22)+(10433.9*H22)</f>
        <v>506291.33713080001</v>
      </c>
      <c r="K22">
        <f>I22-J22</f>
        <v>-90569.517130799999</v>
      </c>
    </row>
    <row r="23" spans="1:11">
      <c r="A23">
        <v>33518.879999999997</v>
      </c>
      <c r="B23">
        <v>2121</v>
      </c>
      <c r="C23">
        <v>0.17599999999999999</v>
      </c>
      <c r="D23">
        <v>8</v>
      </c>
      <c r="E23">
        <v>88.5</v>
      </c>
      <c r="F23">
        <v>0.2</v>
      </c>
      <c r="G23">
        <v>0</v>
      </c>
      <c r="H23">
        <v>5</v>
      </c>
      <c r="I23">
        <v>491905.13</v>
      </c>
      <c r="J23">
        <f>95006.4+(1.18561*A23)+(27.858*B23)+(-72102*C23)+(3084.08*D23)+(2989.33*E23)+(-2890.2*F23)+(12984.1*G23)+(10433.9*H23)</f>
        <v>521963.39031680004</v>
      </c>
      <c r="K23">
        <f>I23-J23</f>
        <v>-30058.260316800035</v>
      </c>
    </row>
    <row r="24" spans="1:11">
      <c r="A24">
        <v>42267.37</v>
      </c>
      <c r="B24">
        <v>3364</v>
      </c>
      <c r="C24">
        <v>0.16</v>
      </c>
      <c r="D24">
        <v>13</v>
      </c>
      <c r="E24">
        <v>82</v>
      </c>
      <c r="F24">
        <v>1.61</v>
      </c>
      <c r="G24">
        <v>1</v>
      </c>
      <c r="H24">
        <v>4.5999999999999996</v>
      </c>
      <c r="I24">
        <v>555929.4</v>
      </c>
      <c r="J24">
        <f>95006.4+(1.18561*A24)+(27.858*B24)+(-72102*C24)+(3084.08*D24)+(2989.33*E24)+(-2890.2*F24)+(12984.1*G24)+(10433.9*H24)</f>
        <v>568841.92654569994</v>
      </c>
      <c r="K24">
        <f>I24-J24</f>
        <v>-12912.526545699919</v>
      </c>
    </row>
    <row r="25" spans="1:11">
      <c r="A25">
        <v>62060.43</v>
      </c>
      <c r="B25">
        <v>2613</v>
      </c>
      <c r="C25">
        <v>0.216</v>
      </c>
      <c r="D25">
        <v>12</v>
      </c>
      <c r="E25">
        <v>92.1</v>
      </c>
      <c r="F25">
        <v>1.55</v>
      </c>
      <c r="G25">
        <v>0</v>
      </c>
      <c r="H25">
        <v>4.7</v>
      </c>
      <c r="I25">
        <v>565810.99</v>
      </c>
      <c r="J25">
        <f>95006.4+(1.18561*A25)+(27.858*B25)+(-72102*C25)+(3084.08*D25)+(2989.33*E25)+(-2890.2*F25)+(12984.1*G25)+(10433.9*H25)</f>
        <v>582690.56141229987</v>
      </c>
      <c r="K25">
        <f>I25-J25</f>
        <v>-16879.571412299876</v>
      </c>
    </row>
    <row r="26" spans="1:11">
      <c r="A26">
        <v>57696.69</v>
      </c>
      <c r="B26">
        <v>10218</v>
      </c>
      <c r="C26">
        <v>0.121</v>
      </c>
      <c r="D26">
        <v>25</v>
      </c>
      <c r="E26">
        <v>94.8</v>
      </c>
      <c r="F26">
        <v>2.99</v>
      </c>
      <c r="G26">
        <v>0</v>
      </c>
      <c r="H26">
        <v>3.5</v>
      </c>
      <c r="I26">
        <v>811771.14</v>
      </c>
      <c r="J26">
        <f>95006.4+(1.18561*A26)+(27.858*B26)+(-72102*C26)+(3084.08*D26)+(2989.33*E26)+(-2890.2*F26)+(12984.1*G26)+(10433.9*H26)</f>
        <v>827708.31063090009</v>
      </c>
      <c r="K26">
        <f>I26-J26</f>
        <v>-15937.170630900073</v>
      </c>
    </row>
    <row r="27" spans="1:11">
      <c r="A27">
        <v>172415.52</v>
      </c>
      <c r="B27">
        <v>8927</v>
      </c>
      <c r="C27">
        <v>0.14000000000000001</v>
      </c>
      <c r="D27">
        <v>22</v>
      </c>
      <c r="E27">
        <v>86.2</v>
      </c>
      <c r="F27">
        <v>7.04</v>
      </c>
      <c r="G27">
        <v>0</v>
      </c>
      <c r="H27">
        <v>3.9</v>
      </c>
      <c r="I27">
        <v>800451.94</v>
      </c>
      <c r="J27">
        <f>95006.4+(1.18561*A27)+(27.858*B27)+(-72102*C27)+(3084.08*D27)+(2989.33*E27)+(-2890.2*F27)+(12984.1*G27)+(10433.9*H27)</f>
        <v>883893.25866719999</v>
      </c>
      <c r="K27">
        <f>I27-J27</f>
        <v>-83441.318667200045</v>
      </c>
    </row>
    <row r="28" spans="1:11">
      <c r="A28">
        <v>55270.52</v>
      </c>
      <c r="B28">
        <v>9315</v>
      </c>
      <c r="C28">
        <v>0.16900000000000001</v>
      </c>
      <c r="D28">
        <v>23</v>
      </c>
      <c r="E28">
        <v>91.9</v>
      </c>
      <c r="F28">
        <v>4.9400000000000004</v>
      </c>
      <c r="G28">
        <v>0</v>
      </c>
      <c r="H28">
        <v>4</v>
      </c>
      <c r="I28">
        <v>783672.82</v>
      </c>
      <c r="J28">
        <f>95006.4+(1.18561*A28)+(27.858*B28)+(-72102*C28)+(3084.08*D28)+(2989.33*E28)+(-2890.2*F28)+(12984.1*G28)+(10433.9*H28)</f>
        <v>780958.99221719999</v>
      </c>
      <c r="K28">
        <f>I28-J28</f>
        <v>2713.8277827999555</v>
      </c>
    </row>
    <row r="29" spans="1:11">
      <c r="A29">
        <v>52715.1</v>
      </c>
      <c r="B29">
        <v>7223</v>
      </c>
      <c r="C29">
        <v>0.122</v>
      </c>
      <c r="D29">
        <v>16</v>
      </c>
      <c r="E29">
        <v>84.2</v>
      </c>
      <c r="F29">
        <v>16.149999999999999</v>
      </c>
      <c r="G29">
        <v>0</v>
      </c>
      <c r="H29">
        <v>3.7</v>
      </c>
      <c r="I29">
        <v>701641.97</v>
      </c>
      <c r="J29">
        <f>95006.4+(1.18561*A29)+(27.858*B29)+(-72102*C29)+(3084.08*D29)+(2989.33*E29)+(-2890.2*F29)+(12984.1*G29)+(10433.9*H29)</f>
        <v>642903.40571100009</v>
      </c>
      <c r="K29">
        <f>I29-J29</f>
        <v>58738.564288999885</v>
      </c>
    </row>
    <row r="30" spans="1:11">
      <c r="A30">
        <v>68600.62</v>
      </c>
      <c r="B30">
        <v>3988</v>
      </c>
      <c r="C30">
        <v>0.124</v>
      </c>
      <c r="D30">
        <v>11</v>
      </c>
      <c r="E30">
        <v>85</v>
      </c>
      <c r="F30">
        <v>0.48</v>
      </c>
      <c r="G30">
        <v>0</v>
      </c>
      <c r="H30">
        <v>3.6</v>
      </c>
      <c r="I30">
        <v>511844.41</v>
      </c>
      <c r="J30">
        <f>95006.4+(1.18561*A30)+(27.858*B30)+(-72102*C30)+(3084.08*D30)+(2989.33*E30)+(-2890.2*F30)+(12984.1*G30)+(10433.9*H30)</f>
        <v>602689.71107820002</v>
      </c>
      <c r="K30">
        <f>I30-J30</f>
        <v>-90845.301078200049</v>
      </c>
    </row>
    <row r="31" spans="1:11">
      <c r="A31">
        <v>63176.73</v>
      </c>
      <c r="B31">
        <v>2390</v>
      </c>
      <c r="C31">
        <v>0.216</v>
      </c>
      <c r="D31">
        <v>9</v>
      </c>
      <c r="E31">
        <v>87.5</v>
      </c>
      <c r="F31">
        <v>0.31</v>
      </c>
      <c r="G31">
        <v>0</v>
      </c>
      <c r="H31">
        <v>3.1</v>
      </c>
      <c r="I31">
        <v>537383.79</v>
      </c>
      <c r="J31">
        <f>95006.4+(1.18561*A31)+(27.858*B31)+(-72102*C31)+(3084.08*D31)+(2989.33*E31)+(-2890.2*F31)+(12984.1*G31)+(10433.9*H31)</f>
        <v>541688.17385530006</v>
      </c>
      <c r="K31">
        <f>I31-J31</f>
        <v>-4304.3838553000242</v>
      </c>
    </row>
    <row r="32" spans="1:11">
      <c r="A32">
        <v>44970.080000000002</v>
      </c>
      <c r="B32">
        <v>2471</v>
      </c>
      <c r="C32">
        <v>0.13600000000000001</v>
      </c>
      <c r="D32">
        <v>11</v>
      </c>
      <c r="E32">
        <v>87.6</v>
      </c>
      <c r="F32">
        <v>3.01</v>
      </c>
      <c r="G32">
        <v>1</v>
      </c>
      <c r="H32">
        <v>3.7</v>
      </c>
      <c r="I32">
        <v>500173.02</v>
      </c>
      <c r="J32">
        <f>95006.4+(1.18561*A32)+(27.858*B32)+(-72102*C32)+(3084.08*D32)+(2989.33*E32)+(-2890.2*F32)+(12984.1*G32)+(10433.9*H32)</f>
        <v>546034.83854879998</v>
      </c>
      <c r="K32">
        <f>I32-J32</f>
        <v>-45861.818548799958</v>
      </c>
    </row>
    <row r="33" spans="1:11">
      <c r="A33">
        <v>69816.350000000006</v>
      </c>
      <c r="B33">
        <v>971</v>
      </c>
      <c r="C33">
        <v>0.16800000000000001</v>
      </c>
      <c r="D33">
        <v>5</v>
      </c>
      <c r="E33">
        <v>89.9</v>
      </c>
      <c r="F33">
        <v>12.15</v>
      </c>
      <c r="G33">
        <v>0</v>
      </c>
      <c r="H33">
        <v>3.6</v>
      </c>
      <c r="I33">
        <v>427917.38</v>
      </c>
      <c r="J33">
        <f>95006.4+(1.18561*A33)+(27.858*B33)+(-72102*C33)+(3084.08*D33)+(2989.33*E33)+(-2890.2*F33)+(12984.1*G33)+(10433.9*H33)</f>
        <v>479325.62172349996</v>
      </c>
      <c r="K33">
        <f>I33-J33</f>
        <v>-51408.241723499959</v>
      </c>
    </row>
    <row r="34" spans="1:11">
      <c r="A34">
        <v>54597.83</v>
      </c>
      <c r="B34">
        <v>9429</v>
      </c>
      <c r="C34">
        <v>0.188</v>
      </c>
      <c r="D34">
        <v>21</v>
      </c>
      <c r="E34">
        <v>83.3</v>
      </c>
      <c r="F34">
        <v>11.71</v>
      </c>
      <c r="G34">
        <v>0</v>
      </c>
      <c r="H34">
        <v>4.2</v>
      </c>
      <c r="I34">
        <v>641865.03</v>
      </c>
      <c r="J34">
        <f>95006.4+(1.18561*A34)+(27.858*B34)+(-72102*C34)+(3084.08*D34)+(2989.33*E34)+(-2890.2*F34)+(12984.1*G34)+(10433.9*H34)</f>
        <v>732611.04622630007</v>
      </c>
      <c r="K34">
        <f>I34-J34</f>
        <v>-90746.016226300038</v>
      </c>
    </row>
    <row r="35" spans="1:11">
      <c r="A35">
        <v>73771.91</v>
      </c>
      <c r="B35">
        <v>11695</v>
      </c>
      <c r="C35">
        <v>7.0000000000000007E-2</v>
      </c>
      <c r="D35">
        <v>25</v>
      </c>
      <c r="E35">
        <v>84.7</v>
      </c>
      <c r="F35">
        <v>0.62</v>
      </c>
      <c r="G35">
        <v>0</v>
      </c>
      <c r="H35">
        <f>3.924</f>
        <v>3.9239999999999999</v>
      </c>
      <c r="I35">
        <v>799477.76000000001</v>
      </c>
      <c r="J35">
        <f>95006.4+(1.18561*A35)+(27.858*B35)+(-72102*C35)+(3084.08*D35)+(2989.33*E35)+(-2890.2*F35)+(12984.1*G35)+(10433.9*H35)</f>
        <v>872672.23481510009</v>
      </c>
      <c r="K35">
        <f>I35-J35</f>
        <v>-73194.474815100082</v>
      </c>
    </row>
    <row r="36" spans="1:11">
      <c r="A36">
        <v>74413.88</v>
      </c>
      <c r="B36">
        <v>9449</v>
      </c>
      <c r="C36">
        <v>3.9E-2</v>
      </c>
      <c r="D36">
        <v>23</v>
      </c>
      <c r="E36">
        <v>92.1</v>
      </c>
      <c r="F36">
        <v>2.12</v>
      </c>
      <c r="G36">
        <v>0</v>
      </c>
      <c r="H36">
        <v>3.5</v>
      </c>
      <c r="I36">
        <v>798952.17</v>
      </c>
      <c r="J36">
        <f>95006.4+(1.18561*A36)+(27.858*B36)+(-72102*C36)+(3084.08*D36)+(2989.33*E36)+(-2890.2*F36)+(12984.1*G36)+(10433.9*H36)</f>
        <v>820293.06326680002</v>
      </c>
      <c r="K36">
        <f>I36-J36</f>
        <v>-21340.893266799976</v>
      </c>
    </row>
    <row r="37" spans="1:11">
      <c r="A37">
        <v>52483.77</v>
      </c>
      <c r="B37">
        <v>10453</v>
      </c>
      <c r="C37">
        <v>0.247</v>
      </c>
      <c r="D37">
        <v>25</v>
      </c>
      <c r="E37">
        <v>99</v>
      </c>
      <c r="F37">
        <v>6.31</v>
      </c>
      <c r="G37">
        <v>0</v>
      </c>
      <c r="H37">
        <v>3.6</v>
      </c>
      <c r="I37">
        <v>800979.78</v>
      </c>
      <c r="J37">
        <f>95006.4+(1.18561*A37)+(27.858*B37)+(-72102*C37)+(3084.08*D37)+(2989.33*E37)+(-2890.2*F37)+(12984.1*G37)+(10433.9*H37)</f>
        <v>822992.71054970007</v>
      </c>
      <c r="K37">
        <f>I37-J37</f>
        <v>-22012.930549700046</v>
      </c>
    </row>
    <row r="38" spans="1:11">
      <c r="A38">
        <v>75269.87</v>
      </c>
      <c r="B38">
        <v>8838</v>
      </c>
      <c r="C38">
        <v>9.1999999999999998E-2</v>
      </c>
      <c r="D38">
        <v>21</v>
      </c>
      <c r="E38">
        <v>83.1</v>
      </c>
      <c r="F38">
        <v>9.56</v>
      </c>
      <c r="G38">
        <v>1</v>
      </c>
      <c r="H38">
        <v>4.2</v>
      </c>
      <c r="I38">
        <v>820593.93</v>
      </c>
      <c r="J38">
        <f>95006.4+(1.18561*A38)+(27.858*B38)+(-72102*C38)+(3084.08*D38)+(2989.33*E38)+(-2890.2*F38)+(12984.1*G38)+(10433.9*H38)</f>
        <v>766177.90157069988</v>
      </c>
      <c r="K38">
        <f>I38-J38</f>
        <v>54416.028429300175</v>
      </c>
    </row>
    <row r="39" spans="1:11">
      <c r="A39">
        <v>61245.41</v>
      </c>
      <c r="B39">
        <v>8156</v>
      </c>
      <c r="C39">
        <v>0.156</v>
      </c>
      <c r="D39">
        <v>19</v>
      </c>
      <c r="E39">
        <v>92.9</v>
      </c>
      <c r="F39">
        <v>9.0500000000000007</v>
      </c>
      <c r="G39">
        <v>0</v>
      </c>
      <c r="H39">
        <v>3.8</v>
      </c>
      <c r="I39">
        <v>718330.53</v>
      </c>
      <c r="J39">
        <f>95006.4+(1.18561*A39)+(27.858*B39)+(-72102*C39)+(3084.08*D39)+(2989.33*E39)+(-2890.2*F39)+(12984.1*G39)+(10433.9*H39)</f>
        <v>733380.29355009983</v>
      </c>
      <c r="K39">
        <f>I39-J39</f>
        <v>-15049.7635500998</v>
      </c>
    </row>
    <row r="40" spans="1:11">
      <c r="A40">
        <v>93381.26</v>
      </c>
      <c r="B40">
        <v>7562</v>
      </c>
      <c r="C40">
        <v>0.19800000000000001</v>
      </c>
      <c r="D40">
        <v>19</v>
      </c>
      <c r="E40">
        <v>82.9</v>
      </c>
      <c r="F40">
        <v>5.05</v>
      </c>
      <c r="G40">
        <v>0</v>
      </c>
      <c r="H40">
        <v>4</v>
      </c>
      <c r="I40">
        <v>736633.4</v>
      </c>
      <c r="J40">
        <f>95006.4+(1.18561*A40)+(27.858*B40)+(-72102*C40)+(3084.08*D40)+(2989.33*E40)+(-2890.2*F40)+(12984.1*G40)+(10433.9*H40)</f>
        <v>735659.22266860004</v>
      </c>
      <c r="K40">
        <f>I40-J40</f>
        <v>974.17733139998745</v>
      </c>
    </row>
    <row r="41" spans="1:11">
      <c r="A41">
        <v>65012.19</v>
      </c>
      <c r="B41">
        <v>9598</v>
      </c>
      <c r="C41">
        <v>8.5000000000000006E-2</v>
      </c>
      <c r="D41">
        <v>24</v>
      </c>
      <c r="E41">
        <v>98.3</v>
      </c>
      <c r="F41">
        <v>0.89</v>
      </c>
      <c r="G41">
        <v>0</v>
      </c>
      <c r="H41">
        <v>3.8</v>
      </c>
      <c r="I41">
        <v>828623.85</v>
      </c>
      <c r="J41">
        <f>95006.4+(1.18561*A41)+(27.858*B41)+(-72102*C41)+(3084.08*D41)+(2989.33*E41)+(-2890.2*F41)+(12984.1*G41)+(10433.9*H41)</f>
        <v>838283.51758589991</v>
      </c>
      <c r="K41">
        <f>I41-J41</f>
        <v>-9659.667585899937</v>
      </c>
    </row>
    <row r="42" spans="1:11">
      <c r="A42">
        <v>40462.94</v>
      </c>
      <c r="B42">
        <v>3660</v>
      </c>
      <c r="C42">
        <v>0.218</v>
      </c>
      <c r="D42">
        <v>11</v>
      </c>
      <c r="E42">
        <v>95.2</v>
      </c>
      <c r="F42">
        <v>5.57</v>
      </c>
      <c r="G42">
        <v>0</v>
      </c>
      <c r="H42">
        <v>4.4000000000000004</v>
      </c>
      <c r="I42">
        <v>592195.85</v>
      </c>
      <c r="J42">
        <f>95006.4+(1.18561*A42)+(27.858*B42)+(-72102*C42)+(3084.08*D42)+(2989.33*E42)+(-2890.2*F42)+(12984.1*G42)+(10433.9*H42)</f>
        <v>577541.55229340005</v>
      </c>
      <c r="K42">
        <f>I42-J42</f>
        <v>14654.297706599929</v>
      </c>
    </row>
    <row r="43" spans="1:11">
      <c r="A43">
        <v>46123.88</v>
      </c>
      <c r="B43">
        <v>3227</v>
      </c>
      <c r="C43">
        <v>0.14299999999999999</v>
      </c>
      <c r="D43">
        <v>10</v>
      </c>
      <c r="E43">
        <v>75.400000000000006</v>
      </c>
      <c r="F43">
        <v>1.06</v>
      </c>
      <c r="G43">
        <v>0</v>
      </c>
      <c r="H43">
        <v>4.4000000000000004</v>
      </c>
      <c r="I43">
        <v>532644.46</v>
      </c>
      <c r="J43">
        <f>95006.4+(1.18561*A43)+(27.858*B43)+(-72102*C43)+(3084.08*D43)+(2989.33*E43)+(-2890.2*F43)+(12984.1*G43)+(10433.9*H43)</f>
        <v>528360.34336679999</v>
      </c>
      <c r="K43">
        <f>I43-J43</f>
        <v>4284.1166331999702</v>
      </c>
    </row>
    <row r="44" spans="1:11">
      <c r="A44">
        <v>68077.539999999994</v>
      </c>
      <c r="B44">
        <v>3360</v>
      </c>
      <c r="C44">
        <v>0.128</v>
      </c>
      <c r="D44">
        <v>14</v>
      </c>
      <c r="E44">
        <v>88.2</v>
      </c>
      <c r="F44">
        <v>1.24</v>
      </c>
      <c r="G44">
        <v>1</v>
      </c>
      <c r="H44">
        <v>4</v>
      </c>
      <c r="I44">
        <v>657429.18000000005</v>
      </c>
      <c r="J44">
        <f>95006.4+(1.18561*A44)+(27.858*B44)+(-72102*C44)+(3084.08*D44)+(2989.33*E44)+(-2890.2*F44)+(12984.1*G44)+(10433.9*H44)</f>
        <v>618065.51419939985</v>
      </c>
      <c r="K44">
        <f>I44-J44</f>
        <v>39363.665800600196</v>
      </c>
    </row>
    <row r="45" spans="1:11">
      <c r="A45">
        <v>64882.14</v>
      </c>
      <c r="B45">
        <v>3642</v>
      </c>
      <c r="C45">
        <v>1.9E-2</v>
      </c>
      <c r="D45">
        <v>13</v>
      </c>
      <c r="E45">
        <v>87.8</v>
      </c>
      <c r="F45">
        <v>4.5199999999999996</v>
      </c>
      <c r="G45">
        <v>0</v>
      </c>
      <c r="H45">
        <v>4.2</v>
      </c>
      <c r="I45">
        <v>605178</v>
      </c>
      <c r="J45">
        <f>95006.4+(1.18561*A45)+(27.858*B45)+(-72102*C45)+(3084.08*D45)+(2989.33*E45)+(-2890.2*F45)+(12984.1*G45)+(10433.9*H45)</f>
        <v>605335.1020054</v>
      </c>
      <c r="K45">
        <f>I45-J45</f>
        <v>-157.10200539999641</v>
      </c>
    </row>
    <row r="46" spans="1:11">
      <c r="A46">
        <v>138855.51</v>
      </c>
      <c r="B46">
        <v>5145</v>
      </c>
      <c r="C46">
        <v>0.06</v>
      </c>
      <c r="D46">
        <v>17</v>
      </c>
      <c r="E46">
        <v>88.2</v>
      </c>
      <c r="F46">
        <v>9.58</v>
      </c>
      <c r="G46">
        <v>0</v>
      </c>
      <c r="H46">
        <v>3.2</v>
      </c>
      <c r="I46">
        <v>595467.6</v>
      </c>
      <c r="J46">
        <f>95006.4+(1.18561*A46)+(27.858*B46)+(-72102*C46)+(3084.08*D46)+(2989.33*E46)+(-2890.2*F46)+(12984.1*G46)+(10433.9*H46)</f>
        <v>720426.80121109996</v>
      </c>
      <c r="K46">
        <f>I46-J46</f>
        <v>-124959.20121109998</v>
      </c>
    </row>
    <row r="47" spans="1:11">
      <c r="A47">
        <v>63630.21</v>
      </c>
      <c r="B47">
        <v>4460</v>
      </c>
      <c r="C47">
        <v>0.23499999999999999</v>
      </c>
      <c r="D47">
        <v>14</v>
      </c>
      <c r="E47">
        <v>98.6</v>
      </c>
      <c r="F47">
        <v>5.52</v>
      </c>
      <c r="G47">
        <v>0</v>
      </c>
      <c r="H47">
        <v>3.5</v>
      </c>
      <c r="I47">
        <v>599603.4</v>
      </c>
      <c r="J47">
        <f>95006.4+(1.18561*A47)+(27.858*B47)+(-72102*C47)+(3084.08*D47)+(2989.33*E47)+(-2890.2*F47)+(12984.1*G47)+(10433.9*H47)</f>
        <v>636239.52727810002</v>
      </c>
      <c r="K47">
        <f>I47-J47</f>
        <v>-36636.127278100001</v>
      </c>
    </row>
    <row r="48" spans="1:11">
      <c r="A48">
        <v>50043.65</v>
      </c>
      <c r="B48">
        <v>3804</v>
      </c>
      <c r="C48">
        <v>0.113</v>
      </c>
      <c r="D48">
        <v>11</v>
      </c>
      <c r="E48">
        <v>90.9</v>
      </c>
      <c r="F48">
        <v>2.7</v>
      </c>
      <c r="G48">
        <v>1</v>
      </c>
      <c r="H48">
        <v>3.2</v>
      </c>
      <c r="I48">
        <v>614800.09</v>
      </c>
      <c r="J48">
        <f>95006.4+(1.18561*A48)+(27.858*B48)+(-72102*C48)+(3084.08*D48)+(2989.33*E48)+(-2890.2*F48)+(12984.1*G48)+(10433.9*H48)</f>
        <v>596386.97487649985</v>
      </c>
      <c r="K48">
        <f>I48-J48</f>
        <v>18413.115123500116</v>
      </c>
    </row>
    <row r="49" spans="1:11">
      <c r="A49">
        <v>42093.84</v>
      </c>
      <c r="B49">
        <v>4074</v>
      </c>
      <c r="C49">
        <v>0.155</v>
      </c>
      <c r="D49">
        <v>15</v>
      </c>
      <c r="E49">
        <v>88</v>
      </c>
      <c r="F49">
        <v>9.64</v>
      </c>
      <c r="G49">
        <v>0</v>
      </c>
      <c r="H49">
        <v>3.3</v>
      </c>
      <c r="I49">
        <v>585365.73</v>
      </c>
      <c r="J49">
        <f>95006.4+(1.18561*A49)+(27.858*B49)+(-72102*C49)+(3084.08*D49)+(2989.33*E49)+(-2890.2*F49)+(12984.1*G49)+(10433.9*H49)</f>
        <v>563123.54164239997</v>
      </c>
      <c r="K49">
        <f>I49-J49</f>
        <v>22242.188357600011</v>
      </c>
    </row>
    <row r="50" spans="1:11">
      <c r="A50">
        <v>46624.05</v>
      </c>
      <c r="B50">
        <v>5104</v>
      </c>
      <c r="C50">
        <v>0.109</v>
      </c>
      <c r="D50">
        <v>11</v>
      </c>
      <c r="E50">
        <v>97.3</v>
      </c>
      <c r="F50">
        <v>3.49</v>
      </c>
      <c r="G50">
        <v>1</v>
      </c>
      <c r="H50">
        <v>4.7</v>
      </c>
      <c r="I50">
        <v>622811.74</v>
      </c>
      <c r="J50">
        <f>95006.4+(1.18561*A50)+(27.858*B50)+(-72102*C50)+(3084.08*D50)+(2989.33*E50)+(-2890.2*F50)+(12984.1*G50)+(10433.9*H50)</f>
        <v>661335.7749205</v>
      </c>
      <c r="K50">
        <f>I50-J50</f>
        <v>-38524.034920500009</v>
      </c>
    </row>
    <row r="51" spans="1:11">
      <c r="A51">
        <v>49710.29</v>
      </c>
      <c r="B51">
        <v>5559</v>
      </c>
      <c r="C51">
        <v>0.218</v>
      </c>
      <c r="D51">
        <v>14</v>
      </c>
      <c r="E51">
        <v>71</v>
      </c>
      <c r="F51">
        <v>9.11</v>
      </c>
      <c r="G51">
        <v>0</v>
      </c>
      <c r="H51">
        <v>4.5999999999999996</v>
      </c>
      <c r="I51">
        <v>603297.56999999995</v>
      </c>
      <c r="J51">
        <f>95006.4+(1.18561*A51)+(27.858*B51)+(-72102*C51)+(3084.08*D51)+(2989.33*E51)+(-2890.2*F51)+(12984.1*G51)+(10433.9*H51)</f>
        <v>570173.57092690002</v>
      </c>
      <c r="K51">
        <f>I51-J51</f>
        <v>33123.999073099927</v>
      </c>
    </row>
    <row r="52" spans="1:11">
      <c r="A52">
        <v>48287.85</v>
      </c>
      <c r="B52">
        <v>5150</v>
      </c>
      <c r="C52">
        <v>8.0000000000000002E-3</v>
      </c>
      <c r="D52">
        <v>12</v>
      </c>
      <c r="E52">
        <v>80.400000000000006</v>
      </c>
      <c r="F52">
        <v>7.4</v>
      </c>
      <c r="G52">
        <v>0</v>
      </c>
      <c r="H52">
        <v>4.5</v>
      </c>
      <c r="I52">
        <v>625672.86</v>
      </c>
      <c r="J52">
        <f>95006.4+(1.18561*A52)+(27.858*B52)+(-72102*C52)+(3084.08*D52)+(2989.33*E52)+(-2890.2*F52)+(12984.1*G52)+(10433.9*H52)</f>
        <v>598065.00383850012</v>
      </c>
      <c r="K52">
        <f>I52-J52</f>
        <v>27607.856161499862</v>
      </c>
    </row>
    <row r="53" spans="1:11">
      <c r="A53">
        <v>65312.49</v>
      </c>
      <c r="B53">
        <v>7189</v>
      </c>
      <c r="C53">
        <v>0.05</v>
      </c>
      <c r="D53">
        <v>19</v>
      </c>
      <c r="E53">
        <v>93.7</v>
      </c>
      <c r="F53">
        <v>7.16</v>
      </c>
      <c r="G53">
        <v>0</v>
      </c>
      <c r="H53">
        <v>4.5999999999999996</v>
      </c>
      <c r="I53">
        <v>773815.14</v>
      </c>
      <c r="J53">
        <f>95006.4+(1.18561*A53)+(27.858*B53)+(-72102*C53)+(3084.08*D53)+(2989.33*E53)+(-2890.2*F53)+(12984.1*G53)+(10433.9*H53)</f>
        <v>735107.4522689</v>
      </c>
      <c r="K53">
        <f>I53-J53</f>
        <v>38707.687731100013</v>
      </c>
    </row>
    <row r="54" spans="1:11">
      <c r="A54">
        <v>53015.46</v>
      </c>
      <c r="B54">
        <v>3279</v>
      </c>
      <c r="C54">
        <v>8.6999999999999994E-2</v>
      </c>
      <c r="D54">
        <v>9</v>
      </c>
      <c r="E54">
        <v>84.3</v>
      </c>
      <c r="F54">
        <v>22.02</v>
      </c>
      <c r="G54">
        <v>0</v>
      </c>
      <c r="H54">
        <v>3.9</v>
      </c>
      <c r="I54">
        <v>463534.25</v>
      </c>
      <c r="J54">
        <f>95006.4+(1.18561*A54)+(27.858*B54)+(-72102*C54)+(3084.08*D54)+(2989.33*E54)+(-2890.2*F54)+(12984.1*G54)+(10433.9*H54)</f>
        <v>499742.81253059994</v>
      </c>
      <c r="K54">
        <f>I54-J54</f>
        <v>-36208.562530599942</v>
      </c>
    </row>
    <row r="55" spans="1:11">
      <c r="A55">
        <v>99874.01</v>
      </c>
      <c r="B55">
        <v>5887</v>
      </c>
      <c r="C55">
        <v>0.26200000000000001</v>
      </c>
      <c r="D55">
        <v>14</v>
      </c>
      <c r="E55">
        <v>88.7</v>
      </c>
      <c r="F55">
        <v>6.18</v>
      </c>
      <c r="G55">
        <v>0</v>
      </c>
      <c r="H55">
        <v>4.7</v>
      </c>
      <c r="I55">
        <v>746677.75</v>
      </c>
      <c r="J55">
        <f>95006.4+(1.18561*A55)+(27.858*B55)+(-72102*C55)+(3084.08*D55)+(2989.33*E55)+(-2890.2*F55)+(12984.1*G55)+(10433.9*H55)</f>
        <v>698035.9319961</v>
      </c>
      <c r="K55">
        <f>I55-J55</f>
        <v>48641.8180039</v>
      </c>
    </row>
    <row r="56" spans="1:11">
      <c r="A56">
        <v>81195.5</v>
      </c>
      <c r="B56">
        <v>5516</v>
      </c>
      <c r="C56">
        <v>0.106</v>
      </c>
      <c r="D56">
        <v>14</v>
      </c>
      <c r="E56">
        <v>88</v>
      </c>
      <c r="F56">
        <v>1.76</v>
      </c>
      <c r="G56">
        <v>0</v>
      </c>
      <c r="H56">
        <v>4.3</v>
      </c>
      <c r="I56">
        <v>720852.5</v>
      </c>
      <c r="J56">
        <f>95006.4+(1.18561*A56)+(27.858*B56)+(-72102*C56)+(3084.08*D56)+(2989.33*E56)+(-2890.2*F56)+(12984.1*G56)+(10433.9*H56)</f>
        <v>683311.69075499999</v>
      </c>
      <c r="K56">
        <f>I56-J56</f>
        <v>37540.809245000011</v>
      </c>
    </row>
    <row r="57" spans="1:11">
      <c r="A57">
        <v>27808.6</v>
      </c>
      <c r="B57">
        <v>2863</v>
      </c>
      <c r="C57">
        <v>0.08</v>
      </c>
      <c r="D57">
        <v>13</v>
      </c>
      <c r="E57">
        <v>89.3</v>
      </c>
      <c r="F57">
        <v>0.47</v>
      </c>
      <c r="G57">
        <v>0</v>
      </c>
      <c r="H57">
        <v>4.0999999999999996</v>
      </c>
      <c r="I57">
        <v>487464.91</v>
      </c>
      <c r="J57">
        <f>95006.4+(1.18561*A57)+(27.858*B57)+(-72102*C57)+(3084.08*D57)+(2989.33*E57)+(-2890.2*F57)+(12984.1*G57)+(10433.9*H57)</f>
        <v>550426.65324600006</v>
      </c>
      <c r="K57">
        <f>I57-J57</f>
        <v>-62961.743246000085</v>
      </c>
    </row>
    <row r="58" spans="1:11">
      <c r="A58">
        <v>19365.060000000001</v>
      </c>
      <c r="B58">
        <v>2378</v>
      </c>
      <c r="C58">
        <v>0</v>
      </c>
      <c r="D58">
        <v>12</v>
      </c>
      <c r="E58">
        <v>94.8</v>
      </c>
      <c r="F58">
        <v>0.2</v>
      </c>
      <c r="G58">
        <v>0</v>
      </c>
      <c r="H58">
        <v>3.5</v>
      </c>
      <c r="I58">
        <v>518049.26</v>
      </c>
      <c r="J58">
        <f>95006.4+(1.18561*A58)+(27.858*B58)+(-72102*C58)+(3084.08*D58)+(2989.33*E58)+(-2890.2*F58)+(12984.1*G58)+(10433.9*H58)</f>
        <v>540550.18678660004</v>
      </c>
      <c r="K58">
        <f>I58-J58</f>
        <v>-22500.92678660003</v>
      </c>
    </row>
    <row r="59" spans="1:11">
      <c r="A59">
        <v>59405.68</v>
      </c>
      <c r="B59">
        <v>2515</v>
      </c>
      <c r="C59">
        <v>3.9E-2</v>
      </c>
      <c r="D59">
        <v>12</v>
      </c>
      <c r="E59">
        <v>76</v>
      </c>
      <c r="F59">
        <v>5.1100000000000003</v>
      </c>
      <c r="G59">
        <v>0</v>
      </c>
      <c r="H59">
        <v>3.7</v>
      </c>
      <c r="I59">
        <v>500298.48</v>
      </c>
      <c r="J59">
        <f>95006.4+(1.18561*A59)+(27.858*B59)+(-72102*C59)+(3084.08*D59)+(2989.33*E59)+(-2890.2*F59)+(12984.1*G59)+(10433.9*H59)</f>
        <v>520723.80826479994</v>
      </c>
      <c r="K59">
        <f>I59-J59</f>
        <v>-20425.328264799959</v>
      </c>
    </row>
    <row r="60" spans="1:11">
      <c r="A60">
        <v>118910.48</v>
      </c>
      <c r="B60">
        <v>4022</v>
      </c>
      <c r="C60">
        <v>0.13700000000000001</v>
      </c>
      <c r="D60">
        <v>11</v>
      </c>
      <c r="E60">
        <v>87.1</v>
      </c>
      <c r="F60">
        <v>0.2</v>
      </c>
      <c r="G60">
        <v>0</v>
      </c>
      <c r="H60">
        <v>3.1</v>
      </c>
      <c r="I60">
        <v>617291.15</v>
      </c>
      <c r="J60">
        <f>95006.4+(1.18561*A60)+(27.858*B60)+(-72102*C60)+(3084.08*D60)+(2989.33*E60)+(-2890.2*F60)+(12984.1*G60)+(10433.9*H60)</f>
        <v>664217.32919279987</v>
      </c>
      <c r="K60">
        <f>I60-J60</f>
        <v>-46926.179192799842</v>
      </c>
    </row>
    <row r="61" spans="1:11">
      <c r="A61">
        <v>52952.12</v>
      </c>
      <c r="B61">
        <v>4377</v>
      </c>
      <c r="C61">
        <v>9.1999999999999998E-2</v>
      </c>
      <c r="D61">
        <v>14</v>
      </c>
      <c r="E61">
        <v>88.6</v>
      </c>
      <c r="F61">
        <v>13.59</v>
      </c>
      <c r="G61">
        <v>0</v>
      </c>
      <c r="H61">
        <v>3.1</v>
      </c>
      <c r="I61">
        <v>553756.43000000005</v>
      </c>
      <c r="J61">
        <f>95006.4+(1.18561*A61)+(27.858*B61)+(-72102*C61)+(3084.08*D61)+(2989.33*E61)+(-2890.2*F61)+(12984.1*G61)+(10433.9*H61)</f>
        <v>574187.07499320002</v>
      </c>
      <c r="K61">
        <f>I61-J61</f>
        <v>-20430.644993199967</v>
      </c>
    </row>
    <row r="62" spans="1:11">
      <c r="A62">
        <v>74907.98</v>
      </c>
      <c r="B62">
        <v>5306</v>
      </c>
      <c r="C62">
        <v>6.2E-2</v>
      </c>
      <c r="D62">
        <v>16</v>
      </c>
      <c r="E62">
        <v>95.6</v>
      </c>
      <c r="F62">
        <v>1.02</v>
      </c>
      <c r="G62">
        <v>0</v>
      </c>
      <c r="H62">
        <v>3.7</v>
      </c>
      <c r="I62">
        <v>749559.71</v>
      </c>
      <c r="J62">
        <f>95006.4+(1.18561*A62)+(27.858*B62)+(-72102*C62)+(3084.08*D62)+(2989.33*E62)+(-2890.2*F62)+(12984.1*G62)+(10433.9*H62)</f>
        <v>697944.92816780007</v>
      </c>
      <c r="K62">
        <f>I62-J62</f>
        <v>51614.781832199893</v>
      </c>
    </row>
    <row r="63" spans="1:11">
      <c r="A63">
        <v>37284.660000000003</v>
      </c>
      <c r="B63">
        <v>3928</v>
      </c>
      <c r="C63">
        <v>7.3999999999999996E-2</v>
      </c>
      <c r="D63">
        <v>12</v>
      </c>
      <c r="E63">
        <v>86.5</v>
      </c>
      <c r="F63">
        <v>1.64</v>
      </c>
      <c r="G63">
        <v>0</v>
      </c>
      <c r="H63">
        <v>3.8</v>
      </c>
      <c r="I63">
        <v>615966.48</v>
      </c>
      <c r="J63">
        <f>95006.4+(1.18561*A63)+(27.858*B63)+(-72102*C63)+(3084.08*D63)+(2989.33*E63)+(-2890.2*F63)+(12984.1*G63)+(10433.9*H63)</f>
        <v>573797.03874260001</v>
      </c>
      <c r="K63">
        <f>I63-J63</f>
        <v>42169.441257399973</v>
      </c>
    </row>
    <row r="64" spans="1:11">
      <c r="A64">
        <v>50343.19</v>
      </c>
      <c r="B64">
        <v>3845</v>
      </c>
      <c r="C64">
        <v>0.113</v>
      </c>
      <c r="D64">
        <v>9</v>
      </c>
      <c r="E64">
        <v>88.7</v>
      </c>
      <c r="F64">
        <v>5.15</v>
      </c>
      <c r="G64">
        <v>0</v>
      </c>
      <c r="H64">
        <v>3.3</v>
      </c>
      <c r="I64">
        <v>572011.19999999995</v>
      </c>
      <c r="J64">
        <f>95006.4+(1.18561*A64)+(27.858*B64)+(-72102*C64)+(3084.08*D64)+(2989.33*E64)+(-2890.2*F64)+(12984.1*G64)+(10433.9*H64)</f>
        <v>566117.90449589991</v>
      </c>
      <c r="K64">
        <f>I64-J64</f>
        <v>5893.2955041000387</v>
      </c>
    </row>
    <row r="65" spans="1:11">
      <c r="A65">
        <v>74954.47</v>
      </c>
      <c r="B65">
        <v>6620</v>
      </c>
      <c r="C65">
        <v>5.3999999999999999E-2</v>
      </c>
      <c r="D65">
        <v>17</v>
      </c>
      <c r="E65">
        <v>91.1</v>
      </c>
      <c r="F65">
        <v>1.1100000000000001</v>
      </c>
      <c r="G65">
        <v>0</v>
      </c>
      <c r="H65">
        <v>3.5</v>
      </c>
      <c r="I65">
        <v>761860.19</v>
      </c>
      <c r="J65">
        <f>95006.4+(1.18561*A65)+(27.858*B65)+(-72102*C65)+(3084.08*D65)+(2989.33*E65)+(-2890.2*F65)+(12984.1*G65)+(10433.9*H65)</f>
        <v>722467.47217670002</v>
      </c>
      <c r="K65">
        <f>I65-J65</f>
        <v>39392.717823299929</v>
      </c>
    </row>
    <row r="66" spans="1:11">
      <c r="A66">
        <v>70040.31</v>
      </c>
      <c r="B66">
        <v>9175</v>
      </c>
      <c r="C66">
        <v>0.107</v>
      </c>
      <c r="D66">
        <v>23</v>
      </c>
      <c r="E66">
        <v>95.1</v>
      </c>
      <c r="F66">
        <v>6.08</v>
      </c>
      <c r="G66">
        <v>1</v>
      </c>
      <c r="H66">
        <v>3.4</v>
      </c>
      <c r="I66">
        <v>784502.68</v>
      </c>
      <c r="J66">
        <f>95006.4+(1.18561*A66)+(27.858*B66)+(-72102*C66)+(3084.08*D66)+(2989.33*E66)+(-2890.2*F66)+(12984.1*G66)+(10433.9*H66)</f>
        <v>812035.19493910007</v>
      </c>
      <c r="K66">
        <f>I66-J66</f>
        <v>-27532.514939100016</v>
      </c>
    </row>
    <row r="67" spans="1:11">
      <c r="A67">
        <v>51148.69</v>
      </c>
      <c r="B67">
        <v>7940</v>
      </c>
      <c r="C67">
        <v>0.156</v>
      </c>
      <c r="D67">
        <v>18</v>
      </c>
      <c r="E67">
        <v>93.3</v>
      </c>
      <c r="F67">
        <v>10.91</v>
      </c>
      <c r="G67">
        <v>0</v>
      </c>
      <c r="H67">
        <v>3.6</v>
      </c>
      <c r="I67">
        <v>717141.55</v>
      </c>
      <c r="J67">
        <f>95006.4+(1.18561*A67)+(27.858*B67)+(-72102*C67)+(3084.08*D67)+(2989.33*E67)+(-2890.2*F67)+(12984.1*G67)+(10433.9*H67)</f>
        <v>706041.29335089994</v>
      </c>
      <c r="K67">
        <f>I67-J67</f>
        <v>11100.256649100105</v>
      </c>
    </row>
    <row r="68" spans="1:11">
      <c r="A68">
        <v>79346.100000000006</v>
      </c>
      <c r="B68">
        <v>9628</v>
      </c>
      <c r="C68">
        <v>0.10199999999999999</v>
      </c>
      <c r="D68">
        <v>20</v>
      </c>
      <c r="E68">
        <v>99</v>
      </c>
      <c r="F68">
        <v>19.010000000000002</v>
      </c>
      <c r="G68">
        <v>1</v>
      </c>
      <c r="H68">
        <v>3.2</v>
      </c>
      <c r="I68">
        <v>685379.08</v>
      </c>
      <c r="J68">
        <f>95006.4+(1.18561*A68)+(27.858*B68)+(-72102*C68)+(3084.08*D68)+(2989.33*E68)+(-2890.2*F68)+(12984.1*G68)+(10433.9*H68)</f>
        <v>798997.49762099993</v>
      </c>
      <c r="K68">
        <f>I68-J68</f>
        <v>-113618.41762099997</v>
      </c>
    </row>
    <row r="69" spans="1:11">
      <c r="A69">
        <v>42018.400000000001</v>
      </c>
      <c r="B69">
        <v>8296</v>
      </c>
      <c r="C69">
        <v>0.115</v>
      </c>
      <c r="D69">
        <v>17</v>
      </c>
      <c r="E69">
        <v>91.8</v>
      </c>
      <c r="F69">
        <v>0.77</v>
      </c>
      <c r="G69">
        <v>0</v>
      </c>
      <c r="H69">
        <v>3.4</v>
      </c>
      <c r="I69">
        <v>740496.65</v>
      </c>
      <c r="J69">
        <f>95006.4+(1.18561*A69)+(27.858*B69)+(-72102*C69)+(3084.08*D69)+(2989.33*E69)+(-2890.2*F69)+(12984.1*G69)+(10433.9*H69)</f>
        <v>727741.73322399997</v>
      </c>
      <c r="K69">
        <f>I69-J69</f>
        <v>12754.916776000056</v>
      </c>
    </row>
    <row r="70" spans="1:11">
      <c r="A70">
        <v>70937.240000000005</v>
      </c>
      <c r="B70">
        <v>3595</v>
      </c>
      <c r="C70">
        <v>0.14099999999999999</v>
      </c>
      <c r="D70">
        <v>11</v>
      </c>
      <c r="E70">
        <v>88.9</v>
      </c>
      <c r="F70">
        <v>2.83</v>
      </c>
      <c r="G70">
        <v>1</v>
      </c>
      <c r="H70">
        <v>3.3</v>
      </c>
      <c r="I70">
        <v>661927.14</v>
      </c>
      <c r="J70">
        <f>95006.4+(1.18561*A70)+(27.858*B70)+(-72102*C70)+(3084.08*D70)+(2989.33*E70)+(-2890.2*F70)+(12984.1*G70)+(10433.9*H70)</f>
        <v>608006.45011640002</v>
      </c>
      <c r="K70">
        <f>I70-J70</f>
        <v>53920.689883599989</v>
      </c>
    </row>
    <row r="71" spans="1:11">
      <c r="A71">
        <v>36813.449999999997</v>
      </c>
      <c r="B71">
        <v>2834</v>
      </c>
      <c r="C71">
        <v>0.191</v>
      </c>
      <c r="D71">
        <v>11</v>
      </c>
      <c r="E71">
        <v>81.8</v>
      </c>
      <c r="F71">
        <v>2.33</v>
      </c>
      <c r="G71">
        <v>0</v>
      </c>
      <c r="H71">
        <v>3.3</v>
      </c>
      <c r="I71">
        <v>479050.5</v>
      </c>
      <c r="J71">
        <f>95006.4+(1.18561*A71)+(27.858*B71)+(-72102*C71)+(3084.08*D71)+(2989.33*E71)+(-2890.2*F71)+(12984.1*G71)+(10433.9*H71)</f>
        <v>509980.66245449998</v>
      </c>
      <c r="K71">
        <f>I71-J71</f>
        <v>-30930.16245449998</v>
      </c>
    </row>
    <row r="72" spans="1:11">
      <c r="A72">
        <v>60571.82</v>
      </c>
      <c r="B72">
        <v>3193</v>
      </c>
      <c r="C72">
        <v>0.19700000000000001</v>
      </c>
      <c r="D72">
        <v>7</v>
      </c>
      <c r="E72">
        <v>99</v>
      </c>
      <c r="F72">
        <v>1.43</v>
      </c>
      <c r="G72">
        <v>0</v>
      </c>
      <c r="H72">
        <v>3.2</v>
      </c>
      <c r="I72">
        <v>605023.87</v>
      </c>
      <c r="J72">
        <f>95006.4+(1.18561*A72)+(27.858*B72)+(-72102*C72)+(3084.08*D72)+(2989.33*E72)+(-2890.2*F72)+(12984.1*G72)+(10433.9*H72)</f>
        <v>588355.17951019993</v>
      </c>
      <c r="K72">
        <f>I72-J72</f>
        <v>16668.690489800065</v>
      </c>
    </row>
    <row r="73" spans="1:11">
      <c r="A73">
        <v>55081.16</v>
      </c>
      <c r="B73">
        <v>5485</v>
      </c>
      <c r="C73">
        <v>3.5999999999999997E-2</v>
      </c>
      <c r="D73">
        <v>12</v>
      </c>
      <c r="E73">
        <v>88</v>
      </c>
      <c r="F73" s="4">
        <f>4.559045</f>
        <v>4.5590450000000002</v>
      </c>
      <c r="G73">
        <v>0</v>
      </c>
      <c r="H73">
        <v>3.5</v>
      </c>
      <c r="I73">
        <v>674774.09</v>
      </c>
      <c r="J73">
        <f>95006.4+(1.18561*A73)+(27.858*B73)+(-72102*C73)+(3084.08*D73)+(2989.33*E73)+(-2890.2*F73)+(12984.1*G73)+(10433.9*H73)</f>
        <v>633928.73024860001</v>
      </c>
      <c r="K73">
        <f>I73-J73</f>
        <v>40845.359751399956</v>
      </c>
    </row>
    <row r="74" spans="1:11">
      <c r="A74">
        <v>46201.46</v>
      </c>
      <c r="B74">
        <v>5918</v>
      </c>
      <c r="C74">
        <v>0.27700000000000002</v>
      </c>
      <c r="D74">
        <v>13</v>
      </c>
      <c r="E74">
        <v>78.8</v>
      </c>
      <c r="F74">
        <v>4.91</v>
      </c>
      <c r="G74">
        <v>0</v>
      </c>
      <c r="H74">
        <v>4.5</v>
      </c>
      <c r="I74">
        <v>616069.41</v>
      </c>
      <c r="J74">
        <f>95006.4+(1.18561*A74)+(27.858*B74)+(-72102*C74)+(3084.08*D74)+(2989.33*E74)+(-2890.2*F74)+(12984.1*G74)+(10433.9*H74)</f>
        <v>603088.61499060004</v>
      </c>
      <c r="K74">
        <f>I74-J74</f>
        <v>12980.795009399997</v>
      </c>
    </row>
    <row r="75" spans="1:11">
      <c r="A75">
        <v>53762.92</v>
      </c>
      <c r="B75">
        <v>6821</v>
      </c>
      <c r="C75">
        <v>6.6000000000000003E-2</v>
      </c>
      <c r="D75">
        <v>19</v>
      </c>
      <c r="E75">
        <v>94.6</v>
      </c>
      <c r="F75">
        <v>7.03</v>
      </c>
      <c r="G75">
        <v>0</v>
      </c>
      <c r="H75">
        <v>4.4000000000000004</v>
      </c>
      <c r="I75">
        <v>630829.93999999994</v>
      </c>
      <c r="J75">
        <f>95006.4+(1.18561*A75)+(27.858*B75)+(-72102*C75)+(3084.08*D75)+(2989.33*E75)+(-2890.2*F75)+(12984.1*G75)+(10433.9*H75)</f>
        <v>710988.13358119992</v>
      </c>
      <c r="K75">
        <f>I75-J75</f>
        <v>-80158.193581199972</v>
      </c>
    </row>
    <row r="76" spans="1:11">
      <c r="A76">
        <v>70144.78</v>
      </c>
      <c r="B76">
        <v>6806</v>
      </c>
      <c r="C76">
        <v>0.17799999999999999</v>
      </c>
      <c r="D76">
        <v>20</v>
      </c>
      <c r="E76">
        <v>93.1</v>
      </c>
      <c r="F76">
        <v>0.28000000000000003</v>
      </c>
      <c r="G76">
        <v>1</v>
      </c>
      <c r="H76">
        <v>4.3</v>
      </c>
      <c r="I76">
        <v>788087.68</v>
      </c>
      <c r="J76">
        <f>95006.4+(1.18561*A76)+(27.858*B76)+(-72102*C76)+(3084.08*D76)+(2989.33*E76)+(-2890.2*F76)+(12984.1*G76)+(10433.9*H76)</f>
        <v>751966.98161579983</v>
      </c>
      <c r="K76">
        <f>I76-J76</f>
        <v>36120.698384200223</v>
      </c>
    </row>
    <row r="77" spans="1:11">
      <c r="A77">
        <v>58749.63</v>
      </c>
      <c r="B77">
        <v>8252</v>
      </c>
      <c r="C77">
        <v>0.20300000000000001</v>
      </c>
      <c r="D77">
        <v>20</v>
      </c>
      <c r="E77">
        <v>85.2</v>
      </c>
      <c r="F77">
        <v>3.61</v>
      </c>
      <c r="G77">
        <v>0</v>
      </c>
      <c r="H77">
        <v>4.5</v>
      </c>
      <c r="I77">
        <v>680840.36</v>
      </c>
      <c r="J77">
        <f>95006.4+(1.18561*A77)+(27.858*B77)+(-72102*C77)+(3084.08*D77)+(2989.33*E77)+(-2890.2*F77)+(12984.1*G77)+(10433.9*H77)</f>
        <v>732799.50282430009</v>
      </c>
      <c r="K77">
        <f>I77-J77</f>
        <v>-51959.142824300099</v>
      </c>
    </row>
    <row r="78" spans="1:11">
      <c r="A78">
        <v>56973.18</v>
      </c>
      <c r="B78">
        <v>6662</v>
      </c>
      <c r="C78">
        <v>0.1</v>
      </c>
      <c r="D78">
        <v>15</v>
      </c>
      <c r="E78">
        <v>77.7</v>
      </c>
      <c r="F78">
        <v>7.52</v>
      </c>
      <c r="G78">
        <v>1</v>
      </c>
      <c r="H78">
        <v>3.2</v>
      </c>
      <c r="I78">
        <v>643657.47</v>
      </c>
      <c r="J78">
        <f>95006.4+(1.18561*A78)+(27.858*B78)+(-72102*C78)+(3084.08*D78)+(2989.33*E78)+(-2890.2*F78)+(12984.1*G78)+(10433.9*H78)</f>
        <v>644104.58493979997</v>
      </c>
      <c r="K78">
        <f>I78-J78</f>
        <v>-447.11493979999796</v>
      </c>
    </row>
    <row r="79" spans="1:11">
      <c r="A79">
        <v>54872.82</v>
      </c>
      <c r="B79">
        <v>5962</v>
      </c>
      <c r="C79">
        <v>6.4000000000000001E-2</v>
      </c>
      <c r="D79">
        <v>12</v>
      </c>
      <c r="E79">
        <v>85.4</v>
      </c>
      <c r="F79">
        <v>2.58</v>
      </c>
      <c r="G79">
        <v>0</v>
      </c>
      <c r="H79">
        <v>2.9</v>
      </c>
      <c r="I79">
        <v>691112.6</v>
      </c>
      <c r="J79">
        <f>95006.4+(1.18561*A79)+(27.858*B79)+(-72102*C79)+(3084.08*D79)+(2989.33*E79)+(-2890.2*F79)+(12984.1*G79)+(10433.9*H79)</f>
        <v>636638.3681202</v>
      </c>
      <c r="K79">
        <f>I79-J79</f>
        <v>54474.231879799976</v>
      </c>
    </row>
    <row r="80" spans="1:11">
      <c r="A80">
        <v>80562.81</v>
      </c>
      <c r="B80">
        <v>7470</v>
      </c>
      <c r="C80">
        <v>0.17199999999999999</v>
      </c>
      <c r="D80">
        <v>16</v>
      </c>
      <c r="E80">
        <v>83.5</v>
      </c>
      <c r="F80">
        <v>2.29</v>
      </c>
      <c r="G80">
        <v>0</v>
      </c>
      <c r="H80">
        <v>3.3</v>
      </c>
      <c r="I80">
        <v>776922.17</v>
      </c>
      <c r="J80">
        <f>95006.4+(1.18561*A80)+(27.858*B80)+(-72102*C80)+(3084.08*D80)+(2989.33*E80)+(-2890.2*F80)+(12984.1*G80)+(10433.9*H80)</f>
        <v>712987.83616409998</v>
      </c>
      <c r="K80">
        <f>I80-J80</f>
        <v>63934.333835900063</v>
      </c>
    </row>
    <row r="81" spans="1:11">
      <c r="A81">
        <v>77999.899999999994</v>
      </c>
      <c r="B81">
        <v>5974</v>
      </c>
      <c r="C81">
        <v>0.252</v>
      </c>
      <c r="D81">
        <v>14</v>
      </c>
      <c r="E81">
        <v>81.3</v>
      </c>
      <c r="F81">
        <v>2.39</v>
      </c>
      <c r="G81">
        <v>0</v>
      </c>
      <c r="H81">
        <v>3.2</v>
      </c>
      <c r="I81">
        <v>636561.34</v>
      </c>
      <c r="J81">
        <f>95006.4+(1.18561*A81)+(27.858*B81)+(-72102*C81)+(3084.08*D81)+(2989.33*E81)+(-2890.2*F81)+(12984.1*G81)+(10433.9*H81)</f>
        <v>648428.40043899999</v>
      </c>
      <c r="K81">
        <f>I81-J81</f>
        <v>-11867.060439000023</v>
      </c>
    </row>
    <row r="82" spans="1:11">
      <c r="A82">
        <v>60881.01</v>
      </c>
      <c r="B82">
        <v>5410</v>
      </c>
      <c r="C82">
        <v>0.17899999999999999</v>
      </c>
      <c r="D82">
        <v>15</v>
      </c>
      <c r="E82">
        <v>83.9</v>
      </c>
      <c r="F82">
        <v>5.24</v>
      </c>
      <c r="G82">
        <v>0</v>
      </c>
      <c r="H82">
        <v>4.5999999999999996</v>
      </c>
      <c r="I82">
        <v>621369.57999999996</v>
      </c>
      <c r="J82">
        <f>95006.4+(1.18561*A82)+(27.858*B82)+(-72102*C82)+(3084.08*D82)+(2989.33*E82)+(-2890.2*F82)+(12984.1*G82)+(10433.9*H82)</f>
        <v>634910.33526610001</v>
      </c>
      <c r="K82">
        <f>I82-J82</f>
        <v>-13540.755266100052</v>
      </c>
    </row>
    <row r="83" spans="1:11">
      <c r="A83">
        <v>60628.38</v>
      </c>
      <c r="B83">
        <v>4451</v>
      </c>
      <c r="C83">
        <v>9.5000000000000001E-2</v>
      </c>
      <c r="D83">
        <v>10</v>
      </c>
      <c r="E83">
        <v>89.6</v>
      </c>
      <c r="F83">
        <v>3.17</v>
      </c>
      <c r="G83">
        <v>0</v>
      </c>
      <c r="H83">
        <v>4.5999999999999996</v>
      </c>
      <c r="I83">
        <v>682208.01</v>
      </c>
      <c r="J83">
        <f>95006.4+(1.18561*A83)+(27.858*B83)+(-72102*C83)+(3084.08*D83)+(2989.33*E83)+(-2890.2*F83)+(12984.1*G83)+(10433.9*H83)</f>
        <v>621553.05561179982</v>
      </c>
      <c r="K83">
        <f>I83-J83</f>
        <v>60654.954388200189</v>
      </c>
    </row>
    <row r="84" spans="1:11">
      <c r="A84">
        <v>72731.14</v>
      </c>
      <c r="B84">
        <v>4644</v>
      </c>
      <c r="C84">
        <v>8.4000000000000005E-2</v>
      </c>
      <c r="D84">
        <v>15</v>
      </c>
      <c r="E84">
        <v>87.1</v>
      </c>
      <c r="F84">
        <v>2.66</v>
      </c>
      <c r="G84">
        <v>0</v>
      </c>
      <c r="H84">
        <v>4.5999999999999996</v>
      </c>
      <c r="I84">
        <v>727241.86</v>
      </c>
      <c r="J84">
        <f>95006.4+(1.18561*A84)+(27.858*B84)+(-72102*C84)+(3084.08*D84)+(2989.33*E84)+(-2890.2*F84)+(12984.1*G84)+(10433.9*H84)</f>
        <v>651493.00189539976</v>
      </c>
      <c r="K84">
        <f>I84-J84</f>
        <v>75748.858104600222</v>
      </c>
    </row>
    <row r="85" spans="1:11">
      <c r="A85">
        <v>36475.71</v>
      </c>
      <c r="B85">
        <v>3559</v>
      </c>
      <c r="C85">
        <v>0.03</v>
      </c>
      <c r="D85">
        <v>8</v>
      </c>
      <c r="E85">
        <v>83.6</v>
      </c>
      <c r="F85">
        <v>1.41</v>
      </c>
      <c r="G85">
        <v>0</v>
      </c>
      <c r="H85">
        <v>4.2</v>
      </c>
      <c r="I85">
        <v>569100.78</v>
      </c>
      <c r="J85">
        <f>95006.4+(1.18561*A85)+(27.858*B85)+(-72102*C85)+(3084.08*D85)+(2989.33*E85)+(-2890.2*F85)+(12984.1*G85)+(10433.9*H85)</f>
        <v>549563.75453309994</v>
      </c>
      <c r="K85">
        <f>I85-J85</f>
        <v>19537.025466900086</v>
      </c>
    </row>
    <row r="86" spans="1:11">
      <c r="A86">
        <v>55388.11</v>
      </c>
      <c r="B86">
        <v>3091</v>
      </c>
      <c r="C86">
        <v>0.108</v>
      </c>
      <c r="D86">
        <v>7</v>
      </c>
      <c r="E86">
        <v>85.4</v>
      </c>
      <c r="F86">
        <v>7.34</v>
      </c>
      <c r="G86">
        <v>0</v>
      </c>
      <c r="H86">
        <v>4.9000000000000004</v>
      </c>
      <c r="I86">
        <v>574436.29</v>
      </c>
      <c r="J86">
        <f>95006.4+(1.18561*A86)+(27.858*B86)+(-72102*C86)+(3084.08*D86)+(2989.33*E86)+(-2890.2*F86)+(12984.1*G86)+(10433.9*H86)</f>
        <v>545786.54309709999</v>
      </c>
      <c r="K86">
        <f>I86-J86</f>
        <v>28649.746902900049</v>
      </c>
    </row>
    <row r="87" spans="1:11">
      <c r="A87">
        <v>88443.77</v>
      </c>
      <c r="B87">
        <v>4004</v>
      </c>
      <c r="C87">
        <v>0.20599999999999999</v>
      </c>
      <c r="D87">
        <v>11</v>
      </c>
      <c r="E87">
        <v>91.9</v>
      </c>
      <c r="F87">
        <v>5.95</v>
      </c>
      <c r="G87">
        <v>0</v>
      </c>
      <c r="H87">
        <f>3.924</f>
        <v>3.9239999999999999</v>
      </c>
      <c r="I87">
        <v>611766.72</v>
      </c>
      <c r="J87">
        <f>95006.4+(1.18561*A87)+(27.858*B87)+(-72102*C87)+(3084.08*D87)+(2989.33*E87)+(-2890.2*F87)+(12984.1*G87)+(10433.9*H87)</f>
        <v>628946.87874970015</v>
      </c>
      <c r="K87">
        <f>I87-J87</f>
        <v>-17180.158749700175</v>
      </c>
    </row>
    <row r="88" spans="1:11">
      <c r="A88">
        <v>78231.91</v>
      </c>
      <c r="B88">
        <v>3788</v>
      </c>
      <c r="C88">
        <v>5.8999999999999997E-2</v>
      </c>
      <c r="D88">
        <v>11</v>
      </c>
      <c r="E88">
        <v>88.5</v>
      </c>
      <c r="F88">
        <v>15.51</v>
      </c>
      <c r="G88">
        <v>0</v>
      </c>
      <c r="H88">
        <v>4.3</v>
      </c>
      <c r="I88">
        <v>614596.31999999995</v>
      </c>
      <c r="J88">
        <f>95006.4+(1.18561*A88)+(27.858*B88)+(-72102*C88)+(3084.08*D88)+(2989.33*E88)+(-2890.2*F88)+(12984.1*G88)+(10433.9*H88)</f>
        <v>587550.37381510006</v>
      </c>
      <c r="K88">
        <f>I88-J88</f>
        <v>27045.946184899891</v>
      </c>
    </row>
    <row r="89" spans="1:11">
      <c r="A89">
        <v>18996.32</v>
      </c>
      <c r="B89">
        <v>1260</v>
      </c>
      <c r="C89">
        <v>0.14499999999999999</v>
      </c>
      <c r="D89">
        <v>9</v>
      </c>
      <c r="E89">
        <v>86.4</v>
      </c>
      <c r="F89">
        <v>4.3099999999999996</v>
      </c>
      <c r="G89">
        <v>0</v>
      </c>
      <c r="H89">
        <v>4.5999999999999996</v>
      </c>
      <c r="I89">
        <v>450711.92</v>
      </c>
      <c r="J89">
        <f>95006.4+(1.18561*A89)+(27.858*B89)+(-72102*C89)+(3084.08*D89)+(2989.33*E89)+(-2890.2*F89)+(12984.1*G89)+(10433.9*H89)</f>
        <v>463748.92695520003</v>
      </c>
      <c r="K89">
        <f>I89-J89</f>
        <v>-13037.00695520005</v>
      </c>
    </row>
    <row r="90" spans="1:11">
      <c r="A90">
        <v>50517.94</v>
      </c>
      <c r="B90">
        <v>7024</v>
      </c>
      <c r="C90">
        <v>2.9000000000000001E-2</v>
      </c>
      <c r="D90">
        <v>18</v>
      </c>
      <c r="E90">
        <v>79.2</v>
      </c>
      <c r="F90">
        <v>6.61</v>
      </c>
      <c r="G90">
        <v>1</v>
      </c>
      <c r="H90">
        <v>4.0999999999999996</v>
      </c>
      <c r="I90">
        <v>711213.46</v>
      </c>
      <c r="J90">
        <f>95006.4+(1.18561*A90)+(27.858*B90)+(-72102*C90)+(3084.08*D90)+(2989.33*E90)+(-2890.2*F90)+(12984.1*G90)+(10433.9*H90)</f>
        <v>677411.85284340009</v>
      </c>
      <c r="K90">
        <f>I90-J90</f>
        <v>33801.607156599872</v>
      </c>
    </row>
    <row r="91" spans="1:11">
      <c r="A91">
        <v>141540.29</v>
      </c>
      <c r="B91">
        <v>5400</v>
      </c>
      <c r="C91">
        <v>1.2999999999999999E-2</v>
      </c>
      <c r="D91">
        <v>12</v>
      </c>
      <c r="E91">
        <v>87</v>
      </c>
      <c r="F91">
        <v>4.26</v>
      </c>
      <c r="G91">
        <v>0</v>
      </c>
      <c r="H91">
        <v>4.5</v>
      </c>
      <c r="I91">
        <v>627171.9</v>
      </c>
      <c r="J91">
        <f>95006.4+(1.18561*A91)+(27.858*B91)+(-72102*C91)+(3084.08*D91)+(2989.33*E91)+(-2890.2*F91)+(12984.1*G91)+(10433.9*H91)</f>
        <v>744034.82522690005</v>
      </c>
      <c r="K91">
        <f>I91-J91</f>
        <v>-116862.92522690003</v>
      </c>
    </row>
    <row r="92" spans="1:11">
      <c r="A92">
        <v>82116.19</v>
      </c>
      <c r="B92">
        <v>5988</v>
      </c>
      <c r="C92">
        <v>0.04</v>
      </c>
      <c r="D92">
        <v>17</v>
      </c>
      <c r="E92">
        <v>91.8</v>
      </c>
      <c r="F92">
        <v>5.75</v>
      </c>
      <c r="G92">
        <v>0</v>
      </c>
      <c r="H92">
        <v>4.7</v>
      </c>
      <c r="I92">
        <v>739852.58</v>
      </c>
      <c r="J92">
        <f>95006.4+(1.18561*A92)+(27.858*B92)+(-72102*C92)+(3084.08*D92)+(2989.33*E92)+(-2890.2*F92)+(12984.1*G92)+(10433.9*H92)</f>
        <v>715564.33402589988</v>
      </c>
      <c r="K92">
        <f>I92-J92</f>
        <v>24288.245974100078</v>
      </c>
    </row>
    <row r="93" spans="1:11">
      <c r="A93">
        <v>31207.51</v>
      </c>
      <c r="B93">
        <v>3701</v>
      </c>
      <c r="C93">
        <v>4.2999999999999997E-2</v>
      </c>
      <c r="D93">
        <v>11</v>
      </c>
      <c r="E93">
        <v>84.7</v>
      </c>
      <c r="F93">
        <v>0.33</v>
      </c>
      <c r="G93">
        <v>0</v>
      </c>
      <c r="H93">
        <v>4.3</v>
      </c>
      <c r="I93">
        <v>586307.22</v>
      </c>
      <c r="J93">
        <f>95006.4+(1.18561*A93)+(27.858*B93)+(-72102*C93)+(3084.08*D93)+(2989.33*E93)+(-2890.2*F93)+(12984.1*G93)+(10433.9*H93)</f>
        <v>563041.5429311</v>
      </c>
      <c r="K93">
        <f>I93-J93</f>
        <v>23265.677068899968</v>
      </c>
    </row>
    <row r="94" spans="1:11">
      <c r="A94">
        <v>38966.589999999997</v>
      </c>
      <c r="B94">
        <v>4509</v>
      </c>
      <c r="C94">
        <v>0.19400000000000001</v>
      </c>
      <c r="D94">
        <v>14</v>
      </c>
      <c r="E94">
        <v>91.1</v>
      </c>
      <c r="F94">
        <v>2.92</v>
      </c>
      <c r="G94">
        <v>0</v>
      </c>
      <c r="H94">
        <v>4.5999999999999996</v>
      </c>
      <c r="I94">
        <v>585937.48</v>
      </c>
      <c r="J94">
        <f>95006.4+(1.18561*A94)+(27.858*B94)+(-72102*C94)+(3084.08*D94)+(2989.33*E94)+(-2890.2*F94)+(12984.1*G94)+(10433.9*H94)</f>
        <v>607891.15176989988</v>
      </c>
      <c r="K94">
        <f>I94-J94</f>
        <v>-21953.671769899898</v>
      </c>
    </row>
    <row r="95" spans="1:11">
      <c r="A95">
        <v>67439.3</v>
      </c>
      <c r="B95">
        <v>6477</v>
      </c>
      <c r="C95">
        <v>0</v>
      </c>
      <c r="D95">
        <v>16</v>
      </c>
      <c r="E95">
        <v>90.9</v>
      </c>
      <c r="F95">
        <v>1.64</v>
      </c>
      <c r="G95">
        <v>0</v>
      </c>
      <c r="H95">
        <v>4.5</v>
      </c>
      <c r="I95">
        <v>753473.55</v>
      </c>
      <c r="J95">
        <f>95006.4+(1.18561*A95)+(27.858*B95)+(-72102*C95)+(3084.08*D95)+(2989.33*E95)+(-2890.2*F95)+(12984.1*G95)+(10433.9*H95)</f>
        <v>718687.37347300013</v>
      </c>
      <c r="K95">
        <f>I95-J95</f>
        <v>34786.176526999916</v>
      </c>
    </row>
    <row r="96" spans="1:11">
      <c r="A96">
        <v>86421.88</v>
      </c>
      <c r="B96">
        <v>7970</v>
      </c>
      <c r="C96">
        <v>7.2999999999999995E-2</v>
      </c>
      <c r="D96">
        <v>17</v>
      </c>
      <c r="E96">
        <v>91.3</v>
      </c>
      <c r="F96">
        <v>0.8</v>
      </c>
      <c r="G96">
        <v>0</v>
      </c>
      <c r="H96">
        <v>5</v>
      </c>
      <c r="I96">
        <v>838250.32</v>
      </c>
      <c r="J96">
        <f>95006.4+(1.18561*A96)+(27.858*B96)+(-72102*C96)+(3084.08*D96)+(2989.33*E96)+(-2890.2*F96)+(12984.1*G96)+(10433.9*H96)</f>
        <v>789446.38814679987</v>
      </c>
      <c r="K96">
        <f>I96-J96</f>
        <v>48803.931853200076</v>
      </c>
    </row>
    <row r="97" spans="1:11">
      <c r="A97">
        <v>9534.65</v>
      </c>
      <c r="B97">
        <v>6057</v>
      </c>
      <c r="C97">
        <v>7.3999999999999996E-2</v>
      </c>
      <c r="D97">
        <v>15</v>
      </c>
      <c r="E97">
        <v>94.1</v>
      </c>
      <c r="F97">
        <v>5.79</v>
      </c>
      <c r="G97">
        <v>0</v>
      </c>
      <c r="H97">
        <v>4.5</v>
      </c>
      <c r="I97">
        <v>607898.12</v>
      </c>
      <c r="J97">
        <f>95006.4+(1.18561*A97)+(27.858*B97)+(-72102*C97)+(3084.08*D97)+(2989.33*E97)+(-2890.2*F97)+(12984.1*G97)+(10433.9*H97)</f>
        <v>627486.57938650006</v>
      </c>
      <c r="K97">
        <f>I97-J97</f>
        <v>-19588.459386500064</v>
      </c>
    </row>
    <row r="98" spans="1:11">
      <c r="A98">
        <v>61132.07</v>
      </c>
      <c r="B98">
        <v>6394</v>
      </c>
      <c r="C98">
        <v>0.16300000000000001</v>
      </c>
      <c r="D98">
        <v>19</v>
      </c>
      <c r="E98">
        <v>91</v>
      </c>
      <c r="F98">
        <v>19.600000000000001</v>
      </c>
      <c r="G98">
        <v>0</v>
      </c>
      <c r="H98">
        <v>4.4000000000000004</v>
      </c>
      <c r="I98">
        <v>691113.62</v>
      </c>
      <c r="J98">
        <f>95006.4+(1.18561*A98)+(27.858*B98)+(-72102*C98)+(3084.08*D98)+(2989.33*E98)+(-2890.2*F98)+(12984.1*G98)+(10433.9*H98)</f>
        <v>653744.40951270005</v>
      </c>
      <c r="K98">
        <f>I98-J98</f>
        <v>37369.210487299948</v>
      </c>
    </row>
    <row r="99" spans="1:11">
      <c r="A99">
        <v>78839.39</v>
      </c>
      <c r="B99">
        <v>5150</v>
      </c>
      <c r="C99">
        <v>0.17100000000000001</v>
      </c>
      <c r="D99">
        <v>13</v>
      </c>
      <c r="E99">
        <v>85.8</v>
      </c>
      <c r="F99">
        <v>7.57</v>
      </c>
      <c r="G99">
        <v>0</v>
      </c>
      <c r="H99">
        <v>4.3</v>
      </c>
      <c r="I99">
        <v>735509.4</v>
      </c>
      <c r="J99">
        <f>95006.4+(1.18561*A99)+(27.858*B99)+(-72102*C99)+(3084.08*D99)+(2989.33*E99)+(-2890.2*F99)+(12984.1*G99)+(10433.9*H99)</f>
        <v>639182.93717789999</v>
      </c>
      <c r="K99">
        <f>I99-J99</f>
        <v>96326.462822100031</v>
      </c>
    </row>
    <row r="100" spans="1:11">
      <c r="A100">
        <v>38752.800000000003</v>
      </c>
      <c r="B100">
        <v>4712</v>
      </c>
      <c r="C100">
        <v>7.4999999999999997E-2</v>
      </c>
      <c r="D100">
        <v>15</v>
      </c>
      <c r="E100">
        <v>89.7</v>
      </c>
      <c r="F100">
        <v>4.5590450000000002</v>
      </c>
      <c r="G100">
        <v>0</v>
      </c>
      <c r="H100">
        <v>4.3</v>
      </c>
      <c r="I100">
        <v>605775.32999999996</v>
      </c>
      <c r="J100">
        <f>95006.4+(1.18561*A100)+(27.858*B100)+(-72102*C100)+(3084.08*D100)+(2989.33*E100)+(-2890.2*F100)+(12984.1*G100)+(10433.9*H100)</f>
        <v>612904.672349</v>
      </c>
      <c r="K100">
        <f>I100-J100</f>
        <v>-7129.3423490000423</v>
      </c>
    </row>
    <row r="101" spans="1:11">
      <c r="A101">
        <v>55101.1</v>
      </c>
      <c r="B101">
        <v>5281</v>
      </c>
      <c r="C101">
        <v>0.189</v>
      </c>
      <c r="D101">
        <v>11</v>
      </c>
      <c r="E101">
        <v>91</v>
      </c>
      <c r="F101">
        <v>2.7</v>
      </c>
      <c r="G101">
        <v>0</v>
      </c>
      <c r="H101">
        <v>4.4000000000000004</v>
      </c>
      <c r="I101">
        <v>675177.68</v>
      </c>
      <c r="J101">
        <f>95006.4+(1.18561*A101)+(27.858*B101)+(-72102*C101)+(3084.08*D101)+(2989.33*E101)+(-2890.2*F101)+(12984.1*G101)+(10433.9*H101)</f>
        <v>637885.16517099994</v>
      </c>
      <c r="K101">
        <f>I101-J101</f>
        <v>37292.514829000109</v>
      </c>
    </row>
    <row r="102" spans="1:11">
      <c r="A102">
        <v>53084.76</v>
      </c>
      <c r="B102">
        <v>3642</v>
      </c>
      <c r="C102">
        <v>0.15</v>
      </c>
      <c r="D102">
        <v>12</v>
      </c>
      <c r="E102">
        <v>91.4</v>
      </c>
      <c r="F102">
        <v>0.2</v>
      </c>
      <c r="G102">
        <v>0</v>
      </c>
      <c r="H102">
        <v>4.4000000000000004</v>
      </c>
      <c r="I102">
        <v>635181.35</v>
      </c>
      <c r="J102">
        <f>95006.4+(1.18561*A102)+(27.858*B102)+(-72102*C102)+(3084.08*D102)+(2989.33*E102)+(-2890.2*F102)+(12984.1*G102)+(10433.9*H102)</f>
        <v>604152.60030359996</v>
      </c>
      <c r="K102">
        <f>I102-J102</f>
        <v>31028.749696400017</v>
      </c>
    </row>
    <row r="103" spans="1:11">
      <c r="A103">
        <v>63101.59</v>
      </c>
      <c r="B103">
        <v>4373</v>
      </c>
      <c r="C103">
        <v>0.17299999999999999</v>
      </c>
      <c r="D103">
        <v>14</v>
      </c>
      <c r="E103">
        <v>90.4</v>
      </c>
      <c r="F103">
        <v>7.87</v>
      </c>
      <c r="G103">
        <v>0</v>
      </c>
      <c r="H103">
        <v>4.7</v>
      </c>
      <c r="I103">
        <v>586626.93999999994</v>
      </c>
      <c r="J103">
        <f>95006.4+(1.18561*A103)+(27.858*B103)+(-72102*C103)+(3084.08*D103)+(2989.33*E103)+(-2890.2*F103)+(12984.1*G103)+(10433.9*H103)</f>
        <v>618875.6721199</v>
      </c>
      <c r="K103">
        <f>I103-J103</f>
        <v>-32248.732119900058</v>
      </c>
    </row>
    <row r="104" spans="1:11">
      <c r="A104">
        <v>90084.4</v>
      </c>
      <c r="B104">
        <v>6832</v>
      </c>
      <c r="C104">
        <v>0.185</v>
      </c>
      <c r="D104">
        <v>14</v>
      </c>
      <c r="E104">
        <v>80.5</v>
      </c>
      <c r="F104">
        <v>0.77</v>
      </c>
      <c r="G104">
        <v>1</v>
      </c>
      <c r="H104">
        <v>4.4000000000000004</v>
      </c>
      <c r="I104">
        <v>740102.64</v>
      </c>
      <c r="J104">
        <f>95006.4+(1.18561*A104)+(27.858*B104)+(-72102*C104)+(3084.08*D104)+(2989.33*E104)+(-2890.2*F104)+(12984.1*G104)+(10433.9*H104)</f>
        <v>719284.34248400002</v>
      </c>
      <c r="K104">
        <f>I104-J104</f>
        <v>20818.297515999991</v>
      </c>
    </row>
    <row r="105" spans="1:11">
      <c r="A105">
        <v>32266.639999999999</v>
      </c>
      <c r="B105">
        <v>2414</v>
      </c>
      <c r="C105">
        <v>0.08</v>
      </c>
      <c r="D105">
        <v>7</v>
      </c>
      <c r="E105">
        <v>92.1</v>
      </c>
      <c r="F105">
        <v>1.48</v>
      </c>
      <c r="G105">
        <v>0</v>
      </c>
      <c r="H105">
        <v>5</v>
      </c>
      <c r="I105">
        <v>625514.04</v>
      </c>
      <c r="J105">
        <f>95006.4+(1.18561*A105)+(27.858*B105)+(-72102*C105)+(3084.08*D105)+(2989.33*E105)+(-2890.2*F105)+(12984.1*G105)+(10433.9*H105)</f>
        <v>539540.96005040011</v>
      </c>
      <c r="K105">
        <f>I105-J105</f>
        <v>85973.079949599924</v>
      </c>
    </row>
    <row r="106" spans="1:11">
      <c r="A106">
        <v>57919.07</v>
      </c>
      <c r="B106">
        <v>7374</v>
      </c>
      <c r="C106">
        <v>0.10299999999999999</v>
      </c>
      <c r="D106">
        <v>21</v>
      </c>
      <c r="E106">
        <v>82.3</v>
      </c>
      <c r="F106">
        <v>2.87</v>
      </c>
      <c r="G106">
        <v>0</v>
      </c>
      <c r="H106">
        <v>2.9</v>
      </c>
      <c r="I106">
        <v>727227.2</v>
      </c>
      <c r="J106">
        <f>95006.4+(1.18561*A106)+(27.858*B106)+(-72102*C106)+(3084.08*D106)+(2989.33*E106)+(-2890.2*F106)+(12984.1*G106)+(10433.9*H106)</f>
        <v>694425.18958269991</v>
      </c>
      <c r="K106">
        <f>I106-J106</f>
        <v>32802.010417300044</v>
      </c>
    </row>
    <row r="107" spans="1:11">
      <c r="A107">
        <v>74679.350000000006</v>
      </c>
      <c r="B107">
        <v>8739</v>
      </c>
      <c r="C107">
        <v>5.6000000000000001E-2</v>
      </c>
      <c r="D107">
        <v>21</v>
      </c>
      <c r="E107">
        <v>91.8</v>
      </c>
      <c r="F107">
        <v>2.83</v>
      </c>
      <c r="G107">
        <v>0</v>
      </c>
      <c r="H107">
        <v>3</v>
      </c>
      <c r="I107">
        <v>783797.89</v>
      </c>
      <c r="J107">
        <f>95006.4+(1.18561*A107)+(27.858*B107)+(-72102*C107)+(3084.08*D107)+(2989.33*E107)+(-2890.2*F107)+(12984.1*G107)+(10433.9*H107)</f>
        <v>785268.94215350004</v>
      </c>
      <c r="K107">
        <f>I107-J107</f>
        <v>-1471.0521535000298</v>
      </c>
    </row>
    <row r="108" spans="1:11">
      <c r="A108">
        <v>64294.23</v>
      </c>
      <c r="B108">
        <v>6992</v>
      </c>
      <c r="C108">
        <v>0.13300000000000001</v>
      </c>
      <c r="D108">
        <v>14</v>
      </c>
      <c r="E108">
        <v>94.1</v>
      </c>
      <c r="F108">
        <v>0.25</v>
      </c>
      <c r="G108">
        <v>0</v>
      </c>
      <c r="H108">
        <v>3</v>
      </c>
      <c r="I108">
        <v>795153.84</v>
      </c>
      <c r="J108">
        <f>95006.4+(1.18561*A108)+(27.858*B108)+(-72102*C108)+(3084.08*D108)+(2989.33*E108)+(-2890.2*F108)+(12984.1*G108)+(10433.9*H108)</f>
        <v>711480.07503029983</v>
      </c>
      <c r="K108">
        <f>I108-J108</f>
        <v>83673.764969700132</v>
      </c>
    </row>
    <row r="109" spans="1:11">
      <c r="A109">
        <v>31042.03</v>
      </c>
      <c r="B109">
        <v>7107</v>
      </c>
      <c r="C109">
        <v>5.0999999999999997E-2</v>
      </c>
      <c r="D109">
        <v>15</v>
      </c>
      <c r="E109">
        <v>87</v>
      </c>
      <c r="F109">
        <v>13.33</v>
      </c>
      <c r="G109">
        <v>0</v>
      </c>
      <c r="H109">
        <v>3.2</v>
      </c>
      <c r="I109">
        <v>665594.93999999994</v>
      </c>
      <c r="J109">
        <f>95006.4+(1.18561*A109)+(27.858*B109)+(-72102*C109)+(3084.08*D109)+(2989.33*E109)+(-2890.2*F109)+(12984.1*G109)+(10433.9*H109)</f>
        <v>627314.76918829989</v>
      </c>
      <c r="K109">
        <f>I109-J109</f>
        <v>38280.170811700053</v>
      </c>
    </row>
    <row r="110" spans="1:11">
      <c r="A110">
        <v>75265.02</v>
      </c>
      <c r="B110">
        <v>6975</v>
      </c>
      <c r="C110">
        <v>0.157</v>
      </c>
      <c r="D110">
        <v>20</v>
      </c>
      <c r="E110">
        <v>73.8</v>
      </c>
      <c r="F110">
        <v>6.35</v>
      </c>
      <c r="G110">
        <v>1</v>
      </c>
      <c r="H110">
        <v>3.8</v>
      </c>
      <c r="I110">
        <v>709478.39</v>
      </c>
      <c r="J110">
        <f>95006.4+(1.18561*A110)+(27.858*B110)+(-72102*C110)+(3084.08*D110)+(2989.33*E110)+(-2890.2*F110)+(12984.1*G110)+(10433.9*H110)</f>
        <v>683805.2003621998</v>
      </c>
      <c r="K110">
        <f>I110-J110</f>
        <v>25673.189637800213</v>
      </c>
    </row>
    <row r="111" spans="1:11">
      <c r="A111">
        <v>69411.7</v>
      </c>
      <c r="B111">
        <v>5493</v>
      </c>
      <c r="C111">
        <v>0.29199999999999998</v>
      </c>
      <c r="D111">
        <v>13</v>
      </c>
      <c r="E111">
        <v>86.5</v>
      </c>
      <c r="F111">
        <v>6.69</v>
      </c>
      <c r="G111">
        <v>0</v>
      </c>
      <c r="H111">
        <v>3.8</v>
      </c>
      <c r="I111">
        <v>664162.49</v>
      </c>
      <c r="J111">
        <f>95006.4+(1.18561*A111)+(27.858*B111)+(-72102*C111)+(3084.08*D111)+(2989.33*E111)+(-2890.2*F111)+(12984.1*G111)+(10433.9*H111)</f>
        <v>628255.28263699997</v>
      </c>
      <c r="K111">
        <f>I111-J111</f>
        <v>35907.207363000023</v>
      </c>
    </row>
    <row r="112" spans="1:11">
      <c r="A112">
        <v>51056.15</v>
      </c>
      <c r="B112">
        <v>5686</v>
      </c>
      <c r="C112">
        <v>8.8999999999999996E-2</v>
      </c>
      <c r="D112">
        <v>13</v>
      </c>
      <c r="E112">
        <v>89.9</v>
      </c>
      <c r="F112">
        <v>1.28</v>
      </c>
      <c r="G112">
        <v>0</v>
      </c>
      <c r="H112">
        <v>4.2</v>
      </c>
      <c r="I112">
        <v>633494.21</v>
      </c>
      <c r="J112">
        <f>95006.4+(1.18561*A112)+(27.858*B112)+(-72102*C112)+(3084.08*D112)+(2989.33*E112)+(-2890.2*F112)+(12984.1*G112)+(10433.9*H112)</f>
        <v>656479.32300149999</v>
      </c>
      <c r="K112">
        <f>I112-J112</f>
        <v>-22985.113001500024</v>
      </c>
    </row>
    <row r="113" spans="1:11">
      <c r="A113">
        <v>52758.01</v>
      </c>
      <c r="B113">
        <v>4063</v>
      </c>
      <c r="C113">
        <v>5.7000000000000002E-2</v>
      </c>
      <c r="D113">
        <v>12</v>
      </c>
      <c r="E113">
        <v>91.7</v>
      </c>
      <c r="F113">
        <v>0.92</v>
      </c>
      <c r="G113">
        <v>0</v>
      </c>
      <c r="H113">
        <v>3.5</v>
      </c>
      <c r="I113">
        <v>713611.16</v>
      </c>
      <c r="J113">
        <f>95006.4+(1.18561*A113)+(27.858*B113)+(-72102*C113)+(3084.08*D113)+(2989.33*E113)+(-2890.2*F113)+(12984.1*G113)+(10433.9*H113)</f>
        <v>611624.25123609998</v>
      </c>
      <c r="K113">
        <f>I113-J113</f>
        <v>101986.90876390005</v>
      </c>
    </row>
    <row r="114" spans="1:11">
      <c r="A114">
        <v>61426.04</v>
      </c>
      <c r="B114">
        <v>8966</v>
      </c>
      <c r="C114">
        <v>0.17299999999999999</v>
      </c>
      <c r="D114">
        <v>22</v>
      </c>
      <c r="E114">
        <v>76.400000000000006</v>
      </c>
      <c r="F114">
        <v>1.05</v>
      </c>
      <c r="G114">
        <v>0</v>
      </c>
      <c r="H114">
        <v>3.1</v>
      </c>
      <c r="I114">
        <v>778397.97</v>
      </c>
      <c r="J114">
        <f>95006.4+(1.18561*A114)+(27.858*B114)+(-72102*C114)+(3084.08*D114)+(2989.33*E114)+(-2890.2*F114)+(12984.1*G114)+(10433.9*H114)</f>
        <v>730679.86128439999</v>
      </c>
      <c r="K114">
        <f>I114-J114</f>
        <v>47718.108715599985</v>
      </c>
    </row>
    <row r="115" spans="1:11">
      <c r="A115">
        <v>80176.34</v>
      </c>
      <c r="B115">
        <v>9489</v>
      </c>
      <c r="C115">
        <v>0.14199999999999999</v>
      </c>
      <c r="D115">
        <v>22</v>
      </c>
      <c r="E115">
        <v>94.3</v>
      </c>
      <c r="F115">
        <v>2.67</v>
      </c>
      <c r="G115">
        <v>0</v>
      </c>
      <c r="H115">
        <v>3.5</v>
      </c>
      <c r="I115">
        <v>873380.02</v>
      </c>
      <c r="J115">
        <f>95006.4+(1.18561*A115)+(27.858*B115)+(-72102*C115)+(3084.08*D115)+(2989.33*E115)+(-2890.2*F115)+(12984.1*G115)+(10433.9*H115)</f>
        <v>822715.74346739997</v>
      </c>
      <c r="K115">
        <f>I115-J115</f>
        <v>50664.276532600052</v>
      </c>
    </row>
    <row r="116" spans="1:11">
      <c r="A116">
        <v>33605.18</v>
      </c>
      <c r="B116">
        <v>9225</v>
      </c>
      <c r="C116">
        <v>0.159</v>
      </c>
      <c r="D116">
        <v>23</v>
      </c>
      <c r="E116">
        <v>88.4</v>
      </c>
      <c r="F116">
        <v>5.91</v>
      </c>
      <c r="G116">
        <v>0</v>
      </c>
      <c r="H116">
        <v>2.8</v>
      </c>
      <c r="I116">
        <v>697287.9</v>
      </c>
      <c r="J116">
        <f>95006.4+(1.18561*A116)+(27.858*B116)+(-72102*C116)+(3084.08*D116)+(2989.33*E116)+(-2890.2*F116)+(12984.1*G116)+(10433.9*H116)</f>
        <v>727699.31945980003</v>
      </c>
      <c r="K116">
        <f>I116-J116</f>
        <v>-30411.419459800003</v>
      </c>
    </row>
    <row r="117" spans="1:11">
      <c r="A117">
        <v>25990.54</v>
      </c>
      <c r="B117">
        <v>9249</v>
      </c>
      <c r="C117">
        <v>0.13900000000000001</v>
      </c>
      <c r="D117">
        <v>23</v>
      </c>
      <c r="E117">
        <v>92.5</v>
      </c>
      <c r="F117">
        <v>6.37</v>
      </c>
      <c r="G117">
        <v>0</v>
      </c>
      <c r="H117">
        <v>3.3</v>
      </c>
      <c r="I117">
        <v>718074.79</v>
      </c>
      <c r="J117">
        <f>95006.4+(1.18561*A117)+(27.858*B117)+(-72102*C117)+(3084.08*D117)+(2989.33*E117)+(-2890.2*F117)+(12984.1*G117)+(10433.9*H117)</f>
        <v>736925.66912939993</v>
      </c>
      <c r="K117">
        <f>I117-J117</f>
        <v>-18850.879129399895</v>
      </c>
    </row>
    <row r="118" spans="1:11">
      <c r="A118">
        <v>43685.14</v>
      </c>
      <c r="B118">
        <v>7821</v>
      </c>
      <c r="C118">
        <v>0.19</v>
      </c>
      <c r="D118">
        <v>17</v>
      </c>
      <c r="E118">
        <v>91</v>
      </c>
      <c r="F118">
        <v>2.4900000000000002</v>
      </c>
      <c r="G118">
        <v>1</v>
      </c>
      <c r="H118">
        <v>4.7</v>
      </c>
      <c r="I118">
        <v>714942.43</v>
      </c>
      <c r="J118">
        <f>95006.4+(1.18561*A118)+(27.858*B118)+(-72102*C118)+(3084.08*D118)+(2989.33*E118)+(-2890.2*F118)+(12984.1*G118)+(10433.9*H118)</f>
        <v>730263.19883539993</v>
      </c>
      <c r="K118">
        <f>I118-J118</f>
        <v>-15320.768835399882</v>
      </c>
    </row>
    <row r="119" spans="1:11">
      <c r="A119">
        <v>57360.01</v>
      </c>
      <c r="B119">
        <v>8434</v>
      </c>
      <c r="C119">
        <v>0.151</v>
      </c>
      <c r="D119">
        <v>19</v>
      </c>
      <c r="E119">
        <v>84.1</v>
      </c>
      <c r="F119">
        <v>1.56</v>
      </c>
      <c r="G119">
        <v>0</v>
      </c>
      <c r="H119">
        <v>4.7</v>
      </c>
      <c r="I119">
        <v>820519.04</v>
      </c>
      <c r="J119">
        <f>95006.4+(1.18561*A119)+(27.858*B119)+(-72102*C119)+(3084.08*D119)+(2989.33*E119)+(-2890.2*F119)+(12984.1*G119)+(10433.9*H119)</f>
        <v>741610.76245609985</v>
      </c>
      <c r="K119">
        <f>I119-J119</f>
        <v>78908.277543900185</v>
      </c>
    </row>
    <row r="120" spans="1:11">
      <c r="A120">
        <v>42415.47</v>
      </c>
      <c r="B120">
        <v>8512</v>
      </c>
      <c r="C120">
        <v>0.13300000000000001</v>
      </c>
      <c r="D120">
        <v>18</v>
      </c>
      <c r="E120">
        <v>96.8</v>
      </c>
      <c r="F120">
        <v>14.95</v>
      </c>
      <c r="G120">
        <v>0</v>
      </c>
      <c r="H120">
        <v>4.5999999999999996</v>
      </c>
      <c r="I120">
        <v>684217.32</v>
      </c>
      <c r="J120">
        <f>95006.4+(1.18561*A120)+(27.858*B120)+(-72102*C120)+(3084.08*D120)+(2989.33*E120)+(-2890.2*F120)+(12984.1*G120)+(10433.9*H120)</f>
        <v>722500.36938669998</v>
      </c>
      <c r="K120">
        <f>I120-J120</f>
        <v>-38283.049386700033</v>
      </c>
    </row>
    <row r="121" spans="1:11">
      <c r="A121">
        <v>54968.98</v>
      </c>
      <c r="B121">
        <v>7816</v>
      </c>
      <c r="C121">
        <v>0.23200000000000001</v>
      </c>
      <c r="D121">
        <v>19</v>
      </c>
      <c r="E121">
        <v>95.7</v>
      </c>
      <c r="F121">
        <v>7.85</v>
      </c>
      <c r="G121">
        <v>0</v>
      </c>
      <c r="H121">
        <v>4.7</v>
      </c>
      <c r="I121">
        <v>735480.19</v>
      </c>
      <c r="J121">
        <f>95006.4+(1.18561*A121)+(27.858*B121)+(-72102*C121)+(3084.08*D121)+(2989.33*E121)+(-2890.2*F121)+(12984.1*G121)+(10433.9*H121)</f>
        <v>732216.2973778001</v>
      </c>
      <c r="K121">
        <f>I121-J121</f>
        <v>3263.8926221998408</v>
      </c>
    </row>
    <row r="122" spans="1:11">
      <c r="A122">
        <v>43896.13</v>
      </c>
      <c r="B122">
        <v>3853</v>
      </c>
      <c r="C122">
        <v>8.7999999999999995E-2</v>
      </c>
      <c r="D122">
        <v>13</v>
      </c>
      <c r="E122">
        <v>83</v>
      </c>
      <c r="F122">
        <v>6.8</v>
      </c>
      <c r="G122">
        <v>0</v>
      </c>
      <c r="H122">
        <v>4.4000000000000004</v>
      </c>
      <c r="I122">
        <v>509484.81</v>
      </c>
      <c r="J122">
        <f>95006.4+(1.18561*A122)+(27.858*B122)+(-72102*C122)+(3084.08*D122)+(2989.33*E122)+(-2890.2*F122)+(12984.1*G122)+(10433.9*H122)</f>
        <v>562505.2186893</v>
      </c>
      <c r="K122">
        <f>I122-J122</f>
        <v>-53020.408689300006</v>
      </c>
    </row>
    <row r="123" spans="1:11">
      <c r="A123">
        <v>83044.17</v>
      </c>
      <c r="B123">
        <v>3694</v>
      </c>
      <c r="C123">
        <v>0</v>
      </c>
      <c r="D123">
        <v>14</v>
      </c>
      <c r="E123">
        <v>89.4</v>
      </c>
      <c r="F123">
        <v>2.2000000000000002</v>
      </c>
      <c r="G123">
        <v>0</v>
      </c>
      <c r="H123">
        <v>3.7</v>
      </c>
      <c r="I123">
        <v>654317.09</v>
      </c>
      <c r="J123">
        <f>95006.4+(1.18561*A123)+(27.858*B123)+(-72102*C123)+(3084.08*D123)+(2989.33*E123)+(-2890.2*F123)+(12984.1*G123)+(10433.9*H123)</f>
        <v>639042.06239370012</v>
      </c>
      <c r="K123">
        <f>I123-J123</f>
        <v>15275.027606299846</v>
      </c>
    </row>
    <row r="124" spans="1:11">
      <c r="A124">
        <v>48396.13</v>
      </c>
      <c r="B124">
        <v>4423</v>
      </c>
      <c r="C124">
        <v>6.9000000000000006E-2</v>
      </c>
      <c r="D124">
        <v>15</v>
      </c>
      <c r="E124">
        <v>85.7</v>
      </c>
      <c r="F124">
        <v>1.88</v>
      </c>
      <c r="G124">
        <v>0</v>
      </c>
      <c r="H124">
        <v>3.9</v>
      </c>
      <c r="I124">
        <v>557487.26</v>
      </c>
      <c r="J124">
        <f>95006.4+(1.18561*A124)+(27.858*B124)+(-72102*C124)+(3084.08*D124)+(2989.33*E124)+(-2890.2*F124)+(12984.1*G124)+(10433.9*H124)</f>
        <v>608331.64668929996</v>
      </c>
      <c r="K124">
        <f>I124-J124</f>
        <v>-50844.38668929995</v>
      </c>
    </row>
    <row r="125" spans="1:11">
      <c r="A125">
        <v>19063.48</v>
      </c>
      <c r="B125">
        <v>1906</v>
      </c>
      <c r="C125">
        <v>0.216</v>
      </c>
      <c r="D125">
        <v>10</v>
      </c>
      <c r="E125">
        <v>97.8</v>
      </c>
      <c r="F125">
        <v>15.79</v>
      </c>
      <c r="G125">
        <v>0</v>
      </c>
      <c r="H125">
        <v>4.4000000000000004</v>
      </c>
      <c r="I125">
        <v>441275.42</v>
      </c>
      <c r="J125">
        <f>95006.4+(1.18561*A125)+(27.858*B125)+(-72102*C125)+(3084.08*D125)+(2989.33*E125)+(-2890.2*F125)+(12984.1*G125)+(10433.9*H125)</f>
        <v>478601.74452279997</v>
      </c>
      <c r="K125">
        <f>I125-J125</f>
        <v>-37326.324522799987</v>
      </c>
    </row>
    <row r="126" spans="1:11">
      <c r="A126">
        <v>61541.21</v>
      </c>
      <c r="B126">
        <v>10396</v>
      </c>
      <c r="C126">
        <v>0.123</v>
      </c>
      <c r="D126">
        <v>25</v>
      </c>
      <c r="E126">
        <v>88.1</v>
      </c>
      <c r="F126">
        <v>2.34</v>
      </c>
      <c r="G126">
        <v>1</v>
      </c>
      <c r="H126">
        <v>4.8</v>
      </c>
      <c r="I126">
        <v>914544.17</v>
      </c>
      <c r="J126">
        <f>95006.4+(1.18561*A126)+(27.858*B126)+(-72102*C126)+(3084.08*D126)+(2989.33*E126)+(-2890.2*F126)+(12984.1*G126)+(10433.9*H126)</f>
        <v>845479.22098810005</v>
      </c>
      <c r="K126">
        <f>I126-J126</f>
        <v>69064.949011899997</v>
      </c>
    </row>
    <row r="127" spans="1:11">
      <c r="A127">
        <v>44747</v>
      </c>
      <c r="B127">
        <v>11076</v>
      </c>
      <c r="C127">
        <v>0.17599999999999999</v>
      </c>
      <c r="D127">
        <v>27</v>
      </c>
      <c r="E127">
        <v>98.3</v>
      </c>
      <c r="F127">
        <v>0.54</v>
      </c>
      <c r="G127">
        <v>0</v>
      </c>
      <c r="H127">
        <v>4.4000000000000004</v>
      </c>
      <c r="I127">
        <v>842439.67</v>
      </c>
      <c r="J127">
        <f>95006.4+(1.18561*A127)+(27.858*B127)+(-72102*C127)+(3084.08*D127)+(2989.33*E127)+(-2890.2*F127)+(12984.1*G127)+(10433.9*H127)</f>
        <v>865393.89766999998</v>
      </c>
      <c r="K127">
        <f>I127-J127</f>
        <v>-22954.227669999935</v>
      </c>
    </row>
    <row r="128" spans="1:11">
      <c r="A128">
        <v>56517.9</v>
      </c>
      <c r="B128">
        <v>9574</v>
      </c>
      <c r="C128">
        <v>0.20399999999999999</v>
      </c>
      <c r="D128">
        <v>20</v>
      </c>
      <c r="E128">
        <v>88.2</v>
      </c>
      <c r="F128">
        <v>5.37</v>
      </c>
      <c r="G128">
        <v>1</v>
      </c>
      <c r="H128">
        <v>4.9000000000000004</v>
      </c>
      <c r="I128">
        <v>842157.92</v>
      </c>
      <c r="J128">
        <f>95006.4+(1.18561*A128)+(27.858*B128)+(-72102*C128)+(3084.08*D128)+(2989.33*E128)+(-2890.2*F128)+(12984.1*G128)+(10433.9*H128)</f>
        <v>787948.61341899994</v>
      </c>
      <c r="K128">
        <f>I128-J128</f>
        <v>54209.306581000099</v>
      </c>
    </row>
    <row r="129" spans="1:11">
      <c r="A129">
        <v>37828.5</v>
      </c>
      <c r="B129">
        <v>8221</v>
      </c>
      <c r="C129">
        <v>9.6000000000000002E-2</v>
      </c>
      <c r="D129">
        <v>19</v>
      </c>
      <c r="E129">
        <v>81.5</v>
      </c>
      <c r="F129">
        <v>3.19</v>
      </c>
      <c r="G129">
        <v>0</v>
      </c>
      <c r="H129">
        <v>4.8</v>
      </c>
      <c r="I129">
        <v>697155.3</v>
      </c>
      <c r="J129">
        <f>95006.4+(1.18561*A129)+(27.858*B129)+(-72102*C129)+(3084.08*D129)+(2989.33*E129)+(-2890.2*F129)+(12984.1*G129)+(10433.9*H129)</f>
        <v>705045.97088499996</v>
      </c>
      <c r="K129">
        <f>I129-J129</f>
        <v>-7890.6708849999122</v>
      </c>
    </row>
    <row r="130" spans="1:11">
      <c r="A130">
        <v>66250.53</v>
      </c>
      <c r="B130">
        <v>10618</v>
      </c>
      <c r="C130">
        <v>0.14199999999999999</v>
      </c>
      <c r="D130">
        <v>27</v>
      </c>
      <c r="E130">
        <v>88.3</v>
      </c>
      <c r="F130">
        <v>1.1000000000000001</v>
      </c>
      <c r="G130">
        <v>1</v>
      </c>
      <c r="H130">
        <v>4.4000000000000004</v>
      </c>
      <c r="I130">
        <v>849018.3</v>
      </c>
      <c r="J130">
        <f>95006.4+(1.18561*A130)+(27.858*B130)+(-72102*C130)+(3084.08*D130)+(2989.33*E130)+(-2890.2*F130)+(12984.1*G130)+(10433.9*H130)</f>
        <v>862053.48987330007</v>
      </c>
      <c r="K130">
        <f>I130-J130</f>
        <v>-13035.189873300027</v>
      </c>
    </row>
    <row r="131" spans="1:11">
      <c r="A131">
        <v>68410.929999999993</v>
      </c>
      <c r="B131">
        <v>10596</v>
      </c>
      <c r="C131">
        <v>0.20699999999999999</v>
      </c>
      <c r="D131">
        <v>25</v>
      </c>
      <c r="E131">
        <v>81.2</v>
      </c>
      <c r="F131">
        <v>0.21</v>
      </c>
      <c r="G131">
        <v>0</v>
      </c>
      <c r="H131">
        <v>4</v>
      </c>
      <c r="I131">
        <v>801830.35</v>
      </c>
      <c r="J131">
        <f>95006.4+(1.18561*A131)+(27.858*B131)+(-72102*C131)+(3084.08*D131)+(2989.33*E131)+(-2890.2*F131)+(12984.1*G131)+(10433.9*H131)</f>
        <v>817337.59071729996</v>
      </c>
      <c r="K131">
        <f>I131-J131</f>
        <v>-15507.240717299981</v>
      </c>
    </row>
    <row r="132" spans="1:11">
      <c r="A132">
        <v>50735.63</v>
      </c>
      <c r="B132">
        <v>9619</v>
      </c>
      <c r="C132">
        <v>0.14399999999999999</v>
      </c>
      <c r="D132">
        <v>19</v>
      </c>
      <c r="E132">
        <v>93.8</v>
      </c>
      <c r="F132">
        <v>5.12</v>
      </c>
      <c r="G132">
        <v>1</v>
      </c>
      <c r="H132">
        <v>4.5</v>
      </c>
      <c r="I132">
        <v>725235.28</v>
      </c>
      <c r="J132">
        <f>95006.4+(1.18561*A132)+(27.858*B132)+(-72102*C132)+(3084.08*D132)+(2989.33*E132)+(-2890.2*F132)+(12984.1*G132)+(10433.9*H132)</f>
        <v>796877.98428430001</v>
      </c>
      <c r="K132">
        <f>I132-J132</f>
        <v>-71642.70428429998</v>
      </c>
    </row>
    <row r="133" spans="1:11">
      <c r="A133">
        <v>66455.8</v>
      </c>
      <c r="B133">
        <v>10836</v>
      </c>
      <c r="C133">
        <v>8.8999999999999996E-2</v>
      </c>
      <c r="D133">
        <v>25</v>
      </c>
      <c r="E133">
        <v>85</v>
      </c>
      <c r="F133">
        <v>9.77</v>
      </c>
      <c r="G133">
        <v>0</v>
      </c>
      <c r="H133">
        <v>4.5</v>
      </c>
      <c r="I133">
        <v>811452.72</v>
      </c>
      <c r="J133">
        <f>95006.4+(1.18561*A133)+(27.858*B133)+(-72102*C133)+(3084.08*D133)+(2989.33*E133)+(-2890.2*F133)+(12984.1*G133)+(10433.9*H133)</f>
        <v>819159.61703800014</v>
      </c>
      <c r="K133">
        <f>I133-J133</f>
        <v>-7706.8970380001701</v>
      </c>
    </row>
    <row r="134" spans="1:11">
      <c r="A134">
        <v>70276.28</v>
      </c>
      <c r="B134">
        <v>3043</v>
      </c>
      <c r="C134">
        <v>7.9000000000000001E-2</v>
      </c>
      <c r="D134">
        <v>9</v>
      </c>
      <c r="E134">
        <v>87.9</v>
      </c>
      <c r="F134">
        <v>3.77</v>
      </c>
      <c r="G134">
        <v>0</v>
      </c>
      <c r="H134">
        <v>4.4000000000000004</v>
      </c>
      <c r="I134">
        <v>527300.13</v>
      </c>
      <c r="J134">
        <f>95006.4+(1.18561*A134)+(27.858*B134)+(-72102*C134)+(3084.08*D134)+(2989.33*E134)+(-2890.2*F134)+(12984.1*G134)+(10433.9*H134)</f>
        <v>582934.42933080008</v>
      </c>
      <c r="K134">
        <f>I134-J134</f>
        <v>-55634.299330800073</v>
      </c>
    </row>
    <row r="135" spans="1:11">
      <c r="A135">
        <v>22071.64</v>
      </c>
      <c r="B135">
        <v>1814</v>
      </c>
      <c r="C135">
        <v>0.19600000000000001</v>
      </c>
      <c r="D135">
        <v>8</v>
      </c>
      <c r="E135">
        <v>81.099999999999994</v>
      </c>
      <c r="F135">
        <v>0.78</v>
      </c>
      <c r="G135">
        <v>0</v>
      </c>
      <c r="H135">
        <f>3.924</f>
        <v>3.9239999999999999</v>
      </c>
      <c r="I135">
        <v>400831.65</v>
      </c>
      <c r="J135">
        <f>95006.4+(1.18561*A135)+(27.858*B135)+(-72102*C135)+(3084.08*D135)+(2989.33*E135)+(-2890.2*F135)+(12984.1*G135)+(10433.9*H135)</f>
        <v>463372.74770039989</v>
      </c>
      <c r="K135">
        <f>I135-J135</f>
        <v>-62541.097700399871</v>
      </c>
    </row>
    <row r="136" spans="1:11">
      <c r="A136">
        <v>52285.45</v>
      </c>
      <c r="B136">
        <v>3618</v>
      </c>
      <c r="C136">
        <v>8.5999999999999993E-2</v>
      </c>
      <c r="D136">
        <v>11</v>
      </c>
      <c r="E136">
        <v>95.6</v>
      </c>
      <c r="F136">
        <v>5.17</v>
      </c>
      <c r="G136">
        <v>1</v>
      </c>
      <c r="H136">
        <v>4.4000000000000004</v>
      </c>
      <c r="I136">
        <v>593247.25</v>
      </c>
      <c r="J136">
        <f>95006.4+(1.18561*A136)+(27.858*B136)+(-72102*C136)+(3084.08*D136)+(2989.33*E136)+(-2890.2*F136)+(12984.1*G136)+(10433.9*H136)</f>
        <v>615241.77837449987</v>
      </c>
      <c r="K136">
        <f>I136-J136</f>
        <v>-21994.528374499874</v>
      </c>
    </row>
    <row r="137" spans="1:11">
      <c r="A137">
        <v>70366.759999999995</v>
      </c>
      <c r="B137">
        <v>1963</v>
      </c>
      <c r="C137">
        <v>0.182</v>
      </c>
      <c r="D137">
        <v>8</v>
      </c>
      <c r="E137">
        <v>89.8</v>
      </c>
      <c r="F137">
        <v>3.2</v>
      </c>
      <c r="G137">
        <v>0</v>
      </c>
      <c r="H137">
        <v>4.5999999999999996</v>
      </c>
      <c r="I137">
        <v>529075.94999999995</v>
      </c>
      <c r="J137">
        <f>95006.4+(1.18561*A137)+(27.858*B137)+(-72102*C137)+(3084.08*D137)+(2989.33*E137)+(-2890.2*F137)+(12984.1*G137)+(10433.9*H137)</f>
        <v>551858.39832359995</v>
      </c>
      <c r="K137">
        <f>I137-J137</f>
        <v>-22782.448323599994</v>
      </c>
    </row>
    <row r="138" spans="1:11">
      <c r="A138">
        <v>71320.66</v>
      </c>
      <c r="B138">
        <v>7888</v>
      </c>
      <c r="C138">
        <v>4.8000000000000001E-2</v>
      </c>
      <c r="D138">
        <v>20</v>
      </c>
      <c r="E138">
        <v>78.099999999999994</v>
      </c>
      <c r="F138">
        <v>3.4</v>
      </c>
      <c r="G138">
        <v>0</v>
      </c>
      <c r="H138">
        <f>3.924</f>
        <v>3.9239999999999999</v>
      </c>
      <c r="I138">
        <v>633638.03</v>
      </c>
      <c r="J138">
        <f>95006.4+(1.18561*A138)+(27.858*B138)+(-72102*C138)+(3084.08*D138)+(2989.33*E138)+(-2890.2*F138)+(12984.1*G138)+(10433.9*H138)</f>
        <v>722112.11230259994</v>
      </c>
      <c r="K138">
        <f>I138-J138</f>
        <v>-88474.082302599913</v>
      </c>
    </row>
    <row r="139" spans="1:11">
      <c r="A139">
        <v>75109.67</v>
      </c>
      <c r="B139">
        <v>6244</v>
      </c>
      <c r="C139">
        <v>7.9000000000000001E-2</v>
      </c>
      <c r="D139">
        <v>15</v>
      </c>
      <c r="E139">
        <v>96.3</v>
      </c>
      <c r="F139">
        <v>7.38</v>
      </c>
      <c r="G139">
        <v>0</v>
      </c>
      <c r="H139">
        <v>3.7</v>
      </c>
      <c r="I139">
        <v>743348.84</v>
      </c>
      <c r="J139">
        <f>95006.4+(1.18561*A139)+(27.858*B139)+(-72102*C139)+(3084.08*D139)+(2989.33*E139)+(-2890.2*F139)+(12984.1*G139)+(10433.9*H139)</f>
        <v>703715.90284870006</v>
      </c>
      <c r="K139">
        <f>I139-J139</f>
        <v>39632.937151299906</v>
      </c>
    </row>
    <row r="140" spans="1:11">
      <c r="A140">
        <v>69779</v>
      </c>
      <c r="B140">
        <v>6544</v>
      </c>
      <c r="C140">
        <v>0.152</v>
      </c>
      <c r="D140">
        <v>18</v>
      </c>
      <c r="E140">
        <v>90.2</v>
      </c>
      <c r="F140">
        <v>0.85</v>
      </c>
      <c r="G140">
        <v>1</v>
      </c>
      <c r="H140">
        <v>3.3</v>
      </c>
      <c r="I140">
        <v>758827.64</v>
      </c>
      <c r="J140">
        <f>95006.4+(1.18561*A140)+(27.858*B140)+(-72102*C140)+(3084.08*D140)+(2989.33*E140)+(-2890.2*F140)+(12984.1*G140)+(10433.9*H140)</f>
        <v>719190.6341899999</v>
      </c>
      <c r="K140">
        <f>I140-J140</f>
        <v>39637.005810000119</v>
      </c>
    </row>
    <row r="141" spans="1:11">
      <c r="A141">
        <v>44211.95</v>
      </c>
      <c r="B141">
        <v>5465</v>
      </c>
      <c r="C141">
        <v>0.187</v>
      </c>
      <c r="D141">
        <v>12</v>
      </c>
      <c r="E141">
        <v>90</v>
      </c>
      <c r="F141">
        <v>2.89</v>
      </c>
      <c r="G141">
        <v>0</v>
      </c>
      <c r="H141">
        <v>3.6</v>
      </c>
      <c r="I141">
        <v>646559.71</v>
      </c>
      <c r="J141">
        <f>95006.4+(1.18561*A141)+(27.858*B141)+(-72102*C141)+(3084.08*D141)+(2989.33*E141)+(-2890.2*F141)+(12984.1*G141)+(10433.9*H141)</f>
        <v>621443.44803950004</v>
      </c>
      <c r="K141">
        <f>I141-J141</f>
        <v>25116.26196049992</v>
      </c>
    </row>
    <row r="142" spans="1:11">
      <c r="A142">
        <v>51430.31</v>
      </c>
      <c r="B142">
        <v>6427</v>
      </c>
      <c r="C142">
        <v>0.23400000000000001</v>
      </c>
      <c r="D142">
        <v>14</v>
      </c>
      <c r="E142">
        <v>88.8</v>
      </c>
      <c r="F142">
        <v>0.77</v>
      </c>
      <c r="G142">
        <v>0</v>
      </c>
      <c r="H142">
        <v>4.0999999999999996</v>
      </c>
      <c r="I142">
        <v>715890.53</v>
      </c>
      <c r="J142">
        <f>95006.4+(1.18561*A142)+(27.858*B142)+(-72102*C142)+(3084.08*D142)+(2989.33*E142)+(-2890.2*F142)+(12984.1*G142)+(10433.9*H142)</f>
        <v>667337.34783909994</v>
      </c>
      <c r="K142">
        <f>I142-J142</f>
        <v>48553.182160900091</v>
      </c>
    </row>
    <row r="143" spans="1:11">
      <c r="A143">
        <v>45706.49</v>
      </c>
      <c r="B143">
        <v>6704</v>
      </c>
      <c r="C143">
        <v>3.7999999999999999E-2</v>
      </c>
      <c r="D143">
        <v>15</v>
      </c>
      <c r="E143">
        <v>94.2</v>
      </c>
      <c r="F143">
        <v>2.92</v>
      </c>
      <c r="G143">
        <v>0</v>
      </c>
      <c r="H143">
        <v>4.2</v>
      </c>
      <c r="I143">
        <v>715097.57</v>
      </c>
      <c r="J143">
        <f>95006.4+(1.18561*A143)+(27.858*B143)+(-72102*C143)+(3084.08*D143)+(2989.33*E143)+(-2890.2*F143)+(12984.1*G143)+(10433.9*H143)</f>
        <v>696455.70960890013</v>
      </c>
      <c r="K143">
        <f>I143-J143</f>
        <v>18641.860391099821</v>
      </c>
    </row>
    <row r="144" spans="1:11">
      <c r="A144">
        <v>44034.6</v>
      </c>
      <c r="B144">
        <v>5645</v>
      </c>
      <c r="C144">
        <v>6.9000000000000006E-2</v>
      </c>
      <c r="D144">
        <v>18</v>
      </c>
      <c r="E144">
        <v>88.5</v>
      </c>
      <c r="F144">
        <v>3.07</v>
      </c>
      <c r="G144">
        <v>0</v>
      </c>
      <c r="H144">
        <v>3.8</v>
      </c>
      <c r="I144">
        <v>682639.28</v>
      </c>
      <c r="J144">
        <f>95006.4+(1.18561*A144)+(27.858*B144)+(-72102*C144)+(3084.08*D144)+(2989.33*E144)+(-2890.2*F144)+(12984.1*G144)+(10433.9*H144)</f>
        <v>650342.68510599993</v>
      </c>
      <c r="K144">
        <f>I144-J144</f>
        <v>32296.594894000096</v>
      </c>
    </row>
    <row r="145" spans="1:11">
      <c r="A145">
        <v>50198.12</v>
      </c>
      <c r="B145">
        <v>6089</v>
      </c>
      <c r="C145">
        <v>0.182</v>
      </c>
      <c r="D145">
        <v>19</v>
      </c>
      <c r="E145">
        <v>94</v>
      </c>
      <c r="F145">
        <v>9.6999999999999993</v>
      </c>
      <c r="G145">
        <v>0</v>
      </c>
      <c r="H145">
        <v>3.9</v>
      </c>
      <c r="I145">
        <v>695098.51</v>
      </c>
      <c r="J145">
        <f>95006.4+(1.18561*A145)+(27.858*B145)+(-72102*C145)+(3084.08*D145)+(2989.33*E145)+(-2890.2*F145)+(12984.1*G145)+(10433.9*H145)</f>
        <v>663278.40105320001</v>
      </c>
      <c r="K145">
        <f>I145-J145</f>
        <v>31820.108946799999</v>
      </c>
    </row>
    <row r="146" spans="1:11">
      <c r="A146">
        <v>70488.2</v>
      </c>
      <c r="B146">
        <v>4312</v>
      </c>
      <c r="C146">
        <v>0.16900000000000001</v>
      </c>
      <c r="D146">
        <v>12</v>
      </c>
      <c r="E146">
        <v>90.2</v>
      </c>
      <c r="F146">
        <v>3.71</v>
      </c>
      <c r="G146">
        <v>0</v>
      </c>
      <c r="H146">
        <v>3.2</v>
      </c>
      <c r="I146">
        <v>577732.56999999995</v>
      </c>
      <c r="J146">
        <f>95006.4+(1.18561*A146)+(27.858*B146)+(-72102*C146)+(3084.08*D146)+(2989.33*E146)+(-2890.2*F146)+(12984.1*G146)+(10433.9*H146)</f>
        <v>615828.73680199997</v>
      </c>
      <c r="K146">
        <f>I146-J146</f>
        <v>-38096.166802000022</v>
      </c>
    </row>
    <row r="147" spans="1:11">
      <c r="A147">
        <v>50909.27</v>
      </c>
      <c r="B147">
        <v>3152</v>
      </c>
      <c r="C147">
        <v>0.06</v>
      </c>
      <c r="D147">
        <v>13</v>
      </c>
      <c r="E147">
        <v>93.7</v>
      </c>
      <c r="F147">
        <v>10.79</v>
      </c>
      <c r="G147">
        <v>0</v>
      </c>
      <c r="H147">
        <v>3.5</v>
      </c>
      <c r="I147">
        <v>537058.32999999996</v>
      </c>
      <c r="J147">
        <f>95006.4+(1.18561*A147)+(27.858*B147)+(-72102*C147)+(3084.08*D147)+(2989.33*E147)+(-2890.2*F147)+(12984.1*G147)+(10433.9*H147)</f>
        <v>564373.88860469998</v>
      </c>
      <c r="K147">
        <f>I147-J147</f>
        <v>-27315.558604700025</v>
      </c>
    </row>
    <row r="148" spans="1:11">
      <c r="A148">
        <v>53351.7</v>
      </c>
      <c r="B148">
        <v>4259</v>
      </c>
      <c r="C148">
        <v>0.156</v>
      </c>
      <c r="D148">
        <v>15</v>
      </c>
      <c r="E148">
        <v>93.7</v>
      </c>
      <c r="F148">
        <v>6.03</v>
      </c>
      <c r="G148">
        <v>0</v>
      </c>
      <c r="H148">
        <v>3.4</v>
      </c>
      <c r="I148">
        <v>601568.87</v>
      </c>
      <c r="J148">
        <f>95006.4+(1.18561*A148)+(27.858*B148)+(-72102*C148)+(3084.08*D148)+(2989.33*E148)+(-2890.2*F148)+(12984.1*G148)+(10433.9*H148)</f>
        <v>610068.79403700004</v>
      </c>
      <c r="K148">
        <f>I148-J148</f>
        <v>-8499.924037000048</v>
      </c>
    </row>
    <row r="149" spans="1:11">
      <c r="A149">
        <v>60322.400000000001</v>
      </c>
      <c r="B149">
        <v>3350</v>
      </c>
      <c r="C149">
        <v>0.108</v>
      </c>
      <c r="D149">
        <v>12</v>
      </c>
      <c r="E149">
        <v>89.4</v>
      </c>
      <c r="F149">
        <v>4.92</v>
      </c>
      <c r="G149">
        <v>0</v>
      </c>
      <c r="H149">
        <v>3.4</v>
      </c>
      <c r="I149">
        <v>570964.84</v>
      </c>
      <c r="J149">
        <f>95006.4+(1.18561*A149)+(27.858*B149)+(-72102*C149)+(3084.08*D149)+(2989.33*E149)+(-2890.2*F149)+(12984.1*G149)+(10433.9*H149)</f>
        <v>577573.06266400008</v>
      </c>
      <c r="K149">
        <f>I149-J149</f>
        <v>-6608.2226640001172</v>
      </c>
    </row>
    <row r="150" spans="1:11">
      <c r="A150">
        <v>51575.68</v>
      </c>
      <c r="B150">
        <v>5329</v>
      </c>
      <c r="C150">
        <v>4.7E-2</v>
      </c>
      <c r="D150">
        <v>17</v>
      </c>
      <c r="E150">
        <v>88.1</v>
      </c>
      <c r="F150">
        <v>19.78</v>
      </c>
      <c r="G150">
        <v>0</v>
      </c>
      <c r="H150">
        <v>3.8</v>
      </c>
      <c r="I150">
        <v>614024.91</v>
      </c>
      <c r="J150">
        <f>95006.4+(1.18561*A150)+(27.858*B150)+(-72102*C150)+(3084.08*D150)+(2989.33*E150)+(-2890.2*F150)+(12984.1*G150)+(10433.9*H150)</f>
        <v>599491.52696479997</v>
      </c>
      <c r="K150">
        <f>I150-J150</f>
        <v>14533.383035200066</v>
      </c>
    </row>
    <row r="151" spans="1:11">
      <c r="A151">
        <v>43319.94</v>
      </c>
      <c r="B151">
        <v>6551</v>
      </c>
      <c r="C151">
        <v>4.3999999999999997E-2</v>
      </c>
      <c r="D151">
        <v>13</v>
      </c>
      <c r="E151">
        <v>99</v>
      </c>
      <c r="F151">
        <v>5.45</v>
      </c>
      <c r="G151">
        <v>0</v>
      </c>
      <c r="H151">
        <v>4.0999999999999996</v>
      </c>
      <c r="I151">
        <v>712868.35</v>
      </c>
      <c r="J151">
        <f>95006.4+(1.18561*A151)+(27.858*B151)+(-72102*C151)+(3084.08*D151)+(2989.33*E151)+(-2890.2*F151)+(12984.1*G151)+(10433.9*H151)</f>
        <v>688756.33406339993</v>
      </c>
      <c r="K151">
        <f>I151-J151</f>
        <v>24112.015936600044</v>
      </c>
    </row>
    <row r="152" spans="1:11">
      <c r="A152">
        <v>47093.55</v>
      </c>
      <c r="B152">
        <v>5550</v>
      </c>
      <c r="C152">
        <v>0.1</v>
      </c>
      <c r="D152">
        <v>12</v>
      </c>
      <c r="E152">
        <v>95</v>
      </c>
      <c r="F152">
        <v>2.33</v>
      </c>
      <c r="G152">
        <v>1</v>
      </c>
      <c r="H152">
        <v>3.7</v>
      </c>
      <c r="I152">
        <v>696744.15</v>
      </c>
      <c r="J152">
        <f>95006.4+(1.18561*A152)+(27.858*B152)+(-72102*C152)+(3084.08*D152)+(2989.33*E152)+(-2890.2*F152)+(12984.1*G152)+(10433.9*H152)</f>
        <v>664093.3578155</v>
      </c>
      <c r="K152">
        <f>I152-J152</f>
        <v>32650.792184500024</v>
      </c>
    </row>
    <row r="153" spans="1:11">
      <c r="A153">
        <v>71855.09</v>
      </c>
      <c r="B153">
        <v>5911</v>
      </c>
      <c r="C153">
        <v>0.19700000000000001</v>
      </c>
      <c r="D153">
        <v>15</v>
      </c>
      <c r="E153">
        <v>94.3</v>
      </c>
      <c r="F153">
        <v>3.55</v>
      </c>
      <c r="G153">
        <v>0</v>
      </c>
      <c r="H153">
        <v>4.0999999999999996</v>
      </c>
      <c r="I153">
        <v>725847.99</v>
      </c>
      <c r="J153">
        <f>95006.4+(1.18561*A153)+(27.858*B153)+(-72102*C153)+(3084.08*D153)+(2989.33*E153)+(-2890.2*F153)+(12984.1*G153)+(10433.9*H153)</f>
        <v>691336.85625490011</v>
      </c>
      <c r="K153">
        <f>I153-J153</f>
        <v>34511.133745099884</v>
      </c>
    </row>
    <row r="154" spans="1:11">
      <c r="A154">
        <v>75645.23</v>
      </c>
      <c r="B154">
        <v>9674</v>
      </c>
      <c r="C154">
        <v>0.23400000000000001</v>
      </c>
      <c r="D154">
        <v>21</v>
      </c>
      <c r="E154">
        <v>87.4</v>
      </c>
      <c r="F154">
        <v>0.2</v>
      </c>
      <c r="G154">
        <v>0</v>
      </c>
      <c r="H154">
        <v>4.5</v>
      </c>
      <c r="I154">
        <v>785028.25</v>
      </c>
      <c r="J154">
        <f>95006.4+(1.18561*A154)+(27.858*B154)+(-72102*C154)+(3084.08*D154)+(2989.33*E154)+(-2890.2*F154)+(12984.1*G154)+(10433.9*H154)</f>
        <v>809726.19714029995</v>
      </c>
      <c r="K154">
        <f>I154-J154</f>
        <v>-24697.947140299948</v>
      </c>
    </row>
    <row r="155" spans="1:11">
      <c r="A155">
        <v>64374.75</v>
      </c>
      <c r="B155">
        <v>6740</v>
      </c>
      <c r="C155">
        <v>0.16900000000000001</v>
      </c>
      <c r="D155">
        <v>18</v>
      </c>
      <c r="E155">
        <v>87</v>
      </c>
      <c r="F155">
        <v>2.09</v>
      </c>
      <c r="G155">
        <v>0</v>
      </c>
      <c r="H155">
        <v>4.2</v>
      </c>
      <c r="I155">
        <v>698492.67</v>
      </c>
      <c r="J155">
        <f>95006.4+(1.18561*A155)+(27.858*B155)+(-72102*C155)+(3084.08*D155)+(2989.33*E155)+(-2890.2*F155)+(12984.1*G155)+(10433.9*H155)</f>
        <v>700274.44134749996</v>
      </c>
      <c r="K155">
        <f>I155-J155</f>
        <v>-1781.7713474999182</v>
      </c>
    </row>
    <row r="156" spans="1:11">
      <c r="A156">
        <v>61433.84</v>
      </c>
      <c r="B156">
        <v>7745</v>
      </c>
      <c r="C156">
        <v>0.18</v>
      </c>
      <c r="D156">
        <v>16</v>
      </c>
      <c r="E156">
        <v>90.5</v>
      </c>
      <c r="F156">
        <v>2.2599999999999998</v>
      </c>
      <c r="G156">
        <v>0</v>
      </c>
      <c r="H156">
        <v>4.2</v>
      </c>
      <c r="I156">
        <v>685830.24</v>
      </c>
      <c r="J156">
        <f>95006.4+(1.18561*A156)+(27.858*B156)+(-72102*C156)+(3084.08*D156)+(2989.33*E156)+(-2890.2*F156)+(12984.1*G156)+(10433.9*H156)</f>
        <v>727794.99804240011</v>
      </c>
      <c r="K156">
        <f>I156-J156</f>
        <v>-41964.758042400121</v>
      </c>
    </row>
    <row r="157" spans="1:11">
      <c r="A157">
        <v>42698.14</v>
      </c>
      <c r="B157">
        <v>7693</v>
      </c>
      <c r="C157">
        <v>0.187</v>
      </c>
      <c r="D157">
        <v>19</v>
      </c>
      <c r="E157">
        <v>90.1</v>
      </c>
      <c r="F157">
        <v>0.44</v>
      </c>
      <c r="G157">
        <v>0</v>
      </c>
      <c r="H157">
        <v>4.4000000000000004</v>
      </c>
      <c r="I157">
        <v>702318.94</v>
      </c>
      <c r="J157">
        <f>95006.4+(1.18561*A157)+(27.858*B157)+(-72102*C157)+(3084.08*D157)+(2989.33*E157)+(-2890.2*F157)+(12984.1*G157)+(10433.9*H157)</f>
        <v>719031.88676539995</v>
      </c>
      <c r="K157">
        <f>I157-J157</f>
        <v>-16712.946765400004</v>
      </c>
    </row>
    <row r="158" spans="1:11">
      <c r="A158">
        <v>86883.31</v>
      </c>
      <c r="B158">
        <v>6424</v>
      </c>
      <c r="C158">
        <v>5.7000000000000002E-2</v>
      </c>
      <c r="D158">
        <v>19</v>
      </c>
      <c r="E158">
        <v>85.2</v>
      </c>
      <c r="F158">
        <v>3.08</v>
      </c>
      <c r="G158">
        <v>0</v>
      </c>
      <c r="H158">
        <v>3.9</v>
      </c>
      <c r="I158">
        <v>700078.32</v>
      </c>
      <c r="J158">
        <f>95006.4+(1.18561*A158)+(27.858*B158)+(-72102*C158)+(3084.08*D158)+(2989.33*E158)+(-2890.2*F158)+(12984.1*G158)+(10433.9*H158)</f>
        <v>717944.92916910001</v>
      </c>
      <c r="K158">
        <f>I158-J158</f>
        <v>-17866.609169100062</v>
      </c>
    </row>
    <row r="159" spans="1:11">
      <c r="A159">
        <v>41863.08</v>
      </c>
      <c r="B159">
        <v>5400</v>
      </c>
      <c r="C159">
        <v>0.114</v>
      </c>
      <c r="D159">
        <v>11</v>
      </c>
      <c r="E159">
        <v>91.6</v>
      </c>
      <c r="F159">
        <v>7.99</v>
      </c>
      <c r="G159">
        <v>0</v>
      </c>
      <c r="H159">
        <v>3</v>
      </c>
      <c r="I159">
        <v>602002.31999999995</v>
      </c>
      <c r="J159">
        <f>95006.4+(1.18561*A159)+(27.858*B159)+(-72102*C159)+(3084.08*D159)+(2989.33*E159)+(-2890.2*F159)+(12984.1*G159)+(10433.9*H159)</f>
        <v>602809.76827879995</v>
      </c>
      <c r="K159">
        <f>I159-J159</f>
        <v>-807.4482788000023</v>
      </c>
    </row>
    <row r="160" spans="1:11">
      <c r="A160">
        <v>56918.16</v>
      </c>
      <c r="B160">
        <v>7015</v>
      </c>
      <c r="C160">
        <v>0.158</v>
      </c>
      <c r="D160">
        <v>18</v>
      </c>
      <c r="E160">
        <v>74.2</v>
      </c>
      <c r="F160">
        <v>0.2</v>
      </c>
      <c r="G160">
        <v>0</v>
      </c>
      <c r="H160">
        <v>3.4</v>
      </c>
      <c r="I160">
        <v>724216.07</v>
      </c>
      <c r="J160">
        <f>95006.4+(1.18561*A160)+(27.858*B160)+(-72102*C160)+(3084.08*D160)+(2989.33*E160)+(-2890.2*F160)+(12984.1*G160)+(10433.9*H160)</f>
        <v>658739.83967759996</v>
      </c>
      <c r="K160">
        <f>I160-J160</f>
        <v>65476.230322399992</v>
      </c>
    </row>
    <row r="161" spans="1:11">
      <c r="A161">
        <v>23254.57</v>
      </c>
      <c r="B161">
        <v>3847</v>
      </c>
      <c r="C161">
        <v>0.159</v>
      </c>
      <c r="D161">
        <v>12</v>
      </c>
      <c r="E161">
        <v>93</v>
      </c>
      <c r="F161">
        <v>5.46</v>
      </c>
      <c r="G161">
        <v>0</v>
      </c>
      <c r="H161">
        <v>3.3</v>
      </c>
      <c r="I161">
        <v>620973.03</v>
      </c>
      <c r="J161">
        <f>95006.4+(1.18561*A161)+(27.858*B161)+(-72102*C161)+(3084.08*D161)+(2989.33*E161)+(-2890.2*F161)+(12984.1*G161)+(10433.9*H161)</f>
        <v>551950.78673769999</v>
      </c>
      <c r="K161">
        <f>I161-J161</f>
        <v>69022.243262300035</v>
      </c>
    </row>
    <row r="162" spans="1:11">
      <c r="A162">
        <v>41443.410000000003</v>
      </c>
      <c r="B162">
        <v>7455</v>
      </c>
      <c r="C162">
        <v>0.17499999999999999</v>
      </c>
      <c r="D162">
        <v>16</v>
      </c>
      <c r="E162">
        <v>90.1</v>
      </c>
      <c r="F162">
        <v>4.05</v>
      </c>
      <c r="G162">
        <v>0</v>
      </c>
      <c r="H162">
        <v>4</v>
      </c>
      <c r="I162">
        <v>650480.06000000006</v>
      </c>
      <c r="J162">
        <f>95006.4+(1.18561*A162)+(27.858*B162)+(-72102*C162)+(3084.08*D162)+(2989.33*E162)+(-2890.2*F162)+(12984.1*G162)+(10433.9*H162)</f>
        <v>687919.86433010001</v>
      </c>
      <c r="K162">
        <f>I162-J162</f>
        <v>-37439.804330099956</v>
      </c>
    </row>
    <row r="163" spans="1:11">
      <c r="A163">
        <v>48438.85</v>
      </c>
      <c r="B163">
        <v>6992</v>
      </c>
      <c r="C163">
        <v>3.4000000000000002E-2</v>
      </c>
      <c r="D163">
        <v>20</v>
      </c>
      <c r="E163">
        <v>91</v>
      </c>
      <c r="F163">
        <v>4.3600000000000003</v>
      </c>
      <c r="G163">
        <v>0</v>
      </c>
      <c r="H163">
        <v>4.2</v>
      </c>
      <c r="I163">
        <v>778298.88</v>
      </c>
      <c r="J163">
        <f>95006.4+(1.18561*A163)+(27.858*B163)+(-72102*C163)+(3084.08*D163)+(2989.33*E163)+(-2890.2*F163)+(12984.1*G163)+(10433.9*H163)</f>
        <v>709699.39094850002</v>
      </c>
      <c r="K163">
        <f>I163-J163</f>
        <v>68599.489051499986</v>
      </c>
    </row>
    <row r="164" spans="1:11">
      <c r="A164">
        <v>57143.3</v>
      </c>
      <c r="B164">
        <v>8038</v>
      </c>
      <c r="C164">
        <v>0.193</v>
      </c>
      <c r="D164">
        <v>17</v>
      </c>
      <c r="E164">
        <v>72.599999999999994</v>
      </c>
      <c r="F164">
        <f>K2</f>
        <v>-54574.688707099878</v>
      </c>
      <c r="G164">
        <v>0</v>
      </c>
      <c r="H164">
        <v>4.2</v>
      </c>
      <c r="I164">
        <v>677096.71</v>
      </c>
      <c r="J164">
        <f>95006.4+(1.18561*A164)+(27.858*B164)+(-72102*C164)+(3084.08*D164)+(2989.33*E164)+(-2890.2*F164)+(12984.1*G164)+(10433.9*H164)</f>
        <v>158417805.38517305</v>
      </c>
      <c r="K164">
        <f>I164-J164</f>
        <v>-157740708.67517304</v>
      </c>
    </row>
    <row r="165" spans="1:11">
      <c r="A165">
        <v>66870.62</v>
      </c>
      <c r="B165">
        <v>6055</v>
      </c>
      <c r="C165">
        <v>7.4999999999999997E-2</v>
      </c>
      <c r="D165">
        <v>19</v>
      </c>
      <c r="E165">
        <v>93.8</v>
      </c>
      <c r="F165">
        <v>0.54</v>
      </c>
      <c r="G165">
        <v>0</v>
      </c>
      <c r="H165">
        <v>4.3</v>
      </c>
      <c r="I165">
        <v>692008.64</v>
      </c>
      <c r="J165">
        <f>95006.4+(1.18561*A165)+(27.858*B165)+(-72102*C165)+(3084.08*D165)+(2989.33*E165)+(-2890.2*F165)+(12984.1*G165)+(10433.9*H165)</f>
        <v>719863.15177820006</v>
      </c>
      <c r="K165">
        <f>I165-J165</f>
        <v>-27854.511778200045</v>
      </c>
    </row>
    <row r="166" spans="1:11">
      <c r="A166">
        <v>72150.53</v>
      </c>
      <c r="B166">
        <v>9323</v>
      </c>
      <c r="C166">
        <v>0.157</v>
      </c>
      <c r="D166">
        <v>22</v>
      </c>
      <c r="E166">
        <v>82.9</v>
      </c>
      <c r="F166">
        <v>11.37</v>
      </c>
      <c r="G166">
        <v>1</v>
      </c>
      <c r="H166">
        <v>4.3</v>
      </c>
      <c r="I166">
        <v>825797.91</v>
      </c>
      <c r="J166">
        <f>95006.4+(1.18561*A166)+(27.858*B166)+(-72102*C166)+(3084.08*D166)+(2989.33*E166)+(-2890.2*F166)+(12984.1*G166)+(10433.9*H166)</f>
        <v>769602.42287329992</v>
      </c>
      <c r="K166">
        <f>I166-J166</f>
        <v>56195.487126700114</v>
      </c>
    </row>
    <row r="167" spans="1:11">
      <c r="A167">
        <v>35303.300000000003</v>
      </c>
      <c r="B167">
        <v>8789</v>
      </c>
      <c r="C167">
        <v>0.123</v>
      </c>
      <c r="D167">
        <v>22</v>
      </c>
      <c r="E167">
        <v>86.1</v>
      </c>
      <c r="F167">
        <v>9.43</v>
      </c>
      <c r="G167">
        <v>0</v>
      </c>
      <c r="H167">
        <v>4.2</v>
      </c>
      <c r="I167">
        <v>706285.52</v>
      </c>
      <c r="J167">
        <f>95006.4+(1.18561*A167)+(27.858*B167)+(-72102*C167)+(3084.08*D167)+(2989.33*E167)+(-2890.2*F167)+(12984.1*G167)+(10433.9*H167)</f>
        <v>714636.62851299997</v>
      </c>
      <c r="K167">
        <f>I167-J167</f>
        <v>-8351.1085129999556</v>
      </c>
    </row>
    <row r="168" spans="1:11">
      <c r="A168">
        <v>30301.86</v>
      </c>
      <c r="B168">
        <v>6939</v>
      </c>
      <c r="C168">
        <v>0.09</v>
      </c>
      <c r="D168">
        <v>16</v>
      </c>
      <c r="E168">
        <v>90.3</v>
      </c>
      <c r="F168">
        <v>3.49</v>
      </c>
      <c r="G168">
        <v>0</v>
      </c>
      <c r="H168">
        <v>4</v>
      </c>
      <c r="I168">
        <v>665534.69999999995</v>
      </c>
      <c r="J168">
        <f>95006.4+(1.18561*A168)+(27.858*B168)+(-72102*C168)+(3084.08*D168)+(2989.33*E168)+(-2890.2*F168)+(12984.1*G168)+(10433.9*H168)</f>
        <v>668680.65123460011</v>
      </c>
      <c r="K168">
        <f>I168-J168</f>
        <v>-3145.9512346001575</v>
      </c>
    </row>
    <row r="169" spans="1:11">
      <c r="A169">
        <v>78432.14</v>
      </c>
      <c r="B169">
        <v>9440</v>
      </c>
      <c r="C169">
        <v>0.126</v>
      </c>
      <c r="D169">
        <v>23</v>
      </c>
      <c r="E169">
        <v>89.2</v>
      </c>
      <c r="F169">
        <v>7.86</v>
      </c>
      <c r="G169">
        <v>0</v>
      </c>
      <c r="H169">
        <v>4.0999999999999996</v>
      </c>
      <c r="I169">
        <v>820729.29</v>
      </c>
      <c r="J169">
        <f>95006.4+(1.18561*A169)+(27.858*B169)+(-72102*C169)+(3084.08*D169)+(2989.33*E169)+(-2890.2*F169)+(12984.1*G169)+(10433.9*H169)</f>
        <v>799535.09150540002</v>
      </c>
      <c r="K169">
        <f>I169-J169</f>
        <v>21194.198494600016</v>
      </c>
    </row>
    <row r="170" spans="1:11">
      <c r="A170">
        <v>62059.18</v>
      </c>
      <c r="B170">
        <v>9374</v>
      </c>
      <c r="C170">
        <v>0.13600000000000001</v>
      </c>
      <c r="D170">
        <v>25</v>
      </c>
      <c r="E170">
        <v>87.1</v>
      </c>
      <c r="F170">
        <v>12.55</v>
      </c>
      <c r="G170">
        <v>0</v>
      </c>
      <c r="H170">
        <v>4.9000000000000004</v>
      </c>
      <c r="I170">
        <v>739831.73</v>
      </c>
      <c r="J170">
        <f>95006.4+(1.18561*A170)+(27.858*B170)+(-72102*C170)+(3084.08*D170)+(2989.33*E170)+(-2890.2*F170)+(12984.1*G170)+(10433.9*H170)</f>
        <v>772246.14739980001</v>
      </c>
      <c r="K170">
        <f>I170-J170</f>
        <v>-32414.417399800033</v>
      </c>
    </row>
    <row r="171" spans="1:11">
      <c r="A171">
        <v>32834.480000000003</v>
      </c>
      <c r="B171">
        <v>7576</v>
      </c>
      <c r="C171">
        <v>9.9000000000000005E-2</v>
      </c>
      <c r="D171">
        <v>15</v>
      </c>
      <c r="E171">
        <v>84.1</v>
      </c>
      <c r="F171">
        <v>3.48</v>
      </c>
      <c r="G171">
        <v>0</v>
      </c>
      <c r="H171">
        <v>5</v>
      </c>
      <c r="I171">
        <v>593637.14</v>
      </c>
      <c r="J171">
        <f>95006.4+(1.18561*A171)+(27.858*B171)+(-72102*C171)+(3084.08*D171)+(2989.33*E171)+(-2890.2*F171)+(12984.1*G171)+(10433.9*H171)</f>
        <v>677624.85483280011</v>
      </c>
      <c r="K171">
        <f>I171-J171</f>
        <v>-83987.714832800091</v>
      </c>
    </row>
    <row r="172" spans="1:11">
      <c r="A172">
        <v>50825.08</v>
      </c>
      <c r="B172">
        <v>8949</v>
      </c>
      <c r="C172">
        <v>0.157</v>
      </c>
      <c r="D172">
        <v>21</v>
      </c>
      <c r="E172">
        <v>84.7</v>
      </c>
      <c r="F172">
        <v>7.73</v>
      </c>
      <c r="G172">
        <v>0</v>
      </c>
      <c r="H172">
        <v>4.9000000000000004</v>
      </c>
      <c r="I172">
        <v>769702.76</v>
      </c>
      <c r="J172">
        <f>95006.4+(1.18561*A172)+(27.858*B172)+(-72102*C172)+(3084.08*D172)+(2989.33*E172)+(-2890.2*F172)+(12984.1*G172)+(10433.9*H172)</f>
        <v>739993.14609879989</v>
      </c>
      <c r="K172">
        <f>I172-J172</f>
        <v>29709.613901200122</v>
      </c>
    </row>
    <row r="173" spans="1:11">
      <c r="A173">
        <v>36606.51</v>
      </c>
      <c r="B173">
        <v>7671</v>
      </c>
      <c r="C173">
        <v>0.11799999999999999</v>
      </c>
      <c r="D173">
        <v>18</v>
      </c>
      <c r="E173">
        <v>89.8</v>
      </c>
      <c r="F173">
        <v>0.25</v>
      </c>
      <c r="G173">
        <v>0</v>
      </c>
      <c r="H173">
        <v>4.4000000000000004</v>
      </c>
      <c r="I173">
        <v>679731.57</v>
      </c>
      <c r="J173">
        <f>95006.4+(1.18561*A173)+(27.858*B173)+(-72102*C173)+(3084.08*D173)+(2989.33*E173)+(-2890.2*F173)+(12984.1*G173)+(10433.9*H173)</f>
        <v>712740.01032109989</v>
      </c>
      <c r="K173">
        <f>I173-J173</f>
        <v>-33008.440321099944</v>
      </c>
    </row>
    <row r="174" spans="1:11">
      <c r="A174">
        <v>65237.79</v>
      </c>
      <c r="B174">
        <v>8741</v>
      </c>
      <c r="C174">
        <v>0.157</v>
      </c>
      <c r="D174">
        <v>20</v>
      </c>
      <c r="E174">
        <v>94.4</v>
      </c>
      <c r="F174">
        <v>6.43</v>
      </c>
      <c r="G174">
        <v>0</v>
      </c>
      <c r="H174">
        <v>3.3</v>
      </c>
      <c r="I174">
        <v>780344.18</v>
      </c>
      <c r="J174">
        <f>95006.4+(1.18561*A174)+(27.858*B174)+(-72102*C174)+(3084.08*D174)+(2989.33*E174)+(-2890.2*F174)+(12984.1*G174)+(10433.9*H174)</f>
        <v>764261.97620189993</v>
      </c>
      <c r="K174">
        <f>I174-J174</f>
        <v>16082.203798100119</v>
      </c>
    </row>
    <row r="175" spans="1:11">
      <c r="A175">
        <v>43645.98</v>
      </c>
      <c r="B175">
        <v>9480</v>
      </c>
      <c r="C175">
        <v>0.109</v>
      </c>
      <c r="D175">
        <v>22</v>
      </c>
      <c r="E175">
        <v>89</v>
      </c>
      <c r="F175">
        <v>2.11</v>
      </c>
      <c r="G175">
        <v>0</v>
      </c>
      <c r="H175">
        <v>3.1</v>
      </c>
      <c r="I175">
        <v>721364.11</v>
      </c>
      <c r="J175">
        <f>95006.4+(1.18561*A175)+(27.858*B175)+(-72102*C175)+(3084.08*D175)+(2989.33*E175)+(-2890.2*F175)+(12984.1*G175)+(10433.9*H175)</f>
        <v>763135.13034779998</v>
      </c>
      <c r="K175">
        <f>I175-J175</f>
        <v>-41771.020347799989</v>
      </c>
    </row>
    <row r="176" spans="1:11">
      <c r="A176">
        <v>68040.149999999994</v>
      </c>
      <c r="B176">
        <v>9826</v>
      </c>
      <c r="C176">
        <v>0.125</v>
      </c>
      <c r="D176">
        <v>20</v>
      </c>
      <c r="E176">
        <v>83.9</v>
      </c>
      <c r="F176">
        <v>9.1199999999999992</v>
      </c>
      <c r="G176">
        <v>0</v>
      </c>
      <c r="H176">
        <v>3.6</v>
      </c>
      <c r="I176">
        <v>758138.29</v>
      </c>
      <c r="J176">
        <f>95006.4+(1.18561*A176)+(27.858*B176)+(-72102*C176)+(3084.08*D176)+(2989.33*E176)+(-2890.2*F176)+(12984.1*G176)+(10433.9*H176)</f>
        <v>764085.24324149999</v>
      </c>
      <c r="K176">
        <f>I176-J176</f>
        <v>-5946.9532414999558</v>
      </c>
    </row>
    <row r="177" spans="1:11">
      <c r="A177">
        <v>63043.94</v>
      </c>
      <c r="B177">
        <v>10402</v>
      </c>
      <c r="C177">
        <v>0.159</v>
      </c>
      <c r="D177">
        <v>23</v>
      </c>
      <c r="E177">
        <v>93.9</v>
      </c>
      <c r="F177">
        <v>2.71</v>
      </c>
      <c r="G177">
        <v>0</v>
      </c>
      <c r="H177">
        <v>3.1</v>
      </c>
      <c r="I177">
        <v>804264</v>
      </c>
      <c r="J177">
        <f>95006.4+(1.18561*A177)+(27.858*B177)+(-72102*C177)+(3084.08*D177)+(2989.33*E177)+(-2890.2*F177)+(12984.1*G177)+(10433.9*H177)</f>
        <v>824211.19870339998</v>
      </c>
      <c r="K177">
        <f>I177-J177</f>
        <v>-19947.198703399976</v>
      </c>
    </row>
    <row r="178" spans="1:11">
      <c r="A178">
        <v>67494.09</v>
      </c>
      <c r="B178">
        <v>12361</v>
      </c>
      <c r="C178">
        <v>4.5999999999999999E-2</v>
      </c>
      <c r="D178">
        <v>24</v>
      </c>
      <c r="E178">
        <v>76.599999999999994</v>
      </c>
      <c r="F178">
        <v>3.65</v>
      </c>
      <c r="G178">
        <v>1</v>
      </c>
      <c r="H178">
        <v>3.7</v>
      </c>
      <c r="I178">
        <v>887537.75</v>
      </c>
      <c r="J178">
        <f>95006.4+(1.18561*A178)+(27.858*B178)+(-72102*C178)+(3084.08*D178)+(2989.33*E178)+(-2890.2*F178)+(12984.1*G178)+(10433.9*H178)</f>
        <v>860105.01204489998</v>
      </c>
      <c r="K178">
        <f>I178-J178</f>
        <v>27432.737955100019</v>
      </c>
    </row>
    <row r="179" spans="1:11">
      <c r="A179">
        <v>29389.32</v>
      </c>
      <c r="B179">
        <v>7925</v>
      </c>
      <c r="C179">
        <v>0.17699999999999999</v>
      </c>
      <c r="D179">
        <v>21</v>
      </c>
      <c r="E179">
        <v>90.9</v>
      </c>
      <c r="F179">
        <v>7.86</v>
      </c>
      <c r="G179">
        <v>0</v>
      </c>
      <c r="H179">
        <v>4</v>
      </c>
      <c r="I179">
        <v>783582</v>
      </c>
      <c r="J179">
        <f>95006.4+(1.18561*A179)+(27.858*B179)+(-72102*C179)+(3084.08*D179)+(2989.33*E179)+(-2890.2*F179)+(12984.1*G179)+(10433.9*H179)</f>
        <v>693377.6726852</v>
      </c>
      <c r="K179">
        <f>I179-J179</f>
        <v>90204.327314800001</v>
      </c>
    </row>
    <row r="180" spans="1:11">
      <c r="A180">
        <v>40535.089999999997</v>
      </c>
      <c r="B180">
        <v>8870</v>
      </c>
      <c r="C180">
        <v>4.1000000000000002E-2</v>
      </c>
      <c r="D180">
        <v>21</v>
      </c>
      <c r="E180">
        <v>86.6</v>
      </c>
      <c r="F180">
        <v>0.3</v>
      </c>
      <c r="G180">
        <v>0</v>
      </c>
      <c r="H180">
        <v>4.0999999999999996</v>
      </c>
      <c r="I180">
        <v>781955.52</v>
      </c>
      <c r="J180">
        <f>95006.4+(1.18561*A180)+(27.858*B180)+(-72102*C180)+(3084.08*D180)+(2989.33*E180)+(-2890.2*F180)+(12984.1*G180)+(10433.9*H180)</f>
        <v>752763.07405489997</v>
      </c>
      <c r="K180">
        <f>I180-J180</f>
        <v>29192.445945100044</v>
      </c>
    </row>
    <row r="181" spans="1:11">
      <c r="A181">
        <v>74881.56</v>
      </c>
      <c r="B181">
        <v>9999</v>
      </c>
      <c r="C181">
        <v>1.2999999999999999E-2</v>
      </c>
      <c r="D181">
        <v>20</v>
      </c>
      <c r="E181">
        <v>89.6</v>
      </c>
      <c r="F181">
        <v>8.44</v>
      </c>
      <c r="G181">
        <v>0</v>
      </c>
      <c r="H181">
        <v>4.0999999999999996</v>
      </c>
      <c r="I181">
        <v>898031.04</v>
      </c>
      <c r="J181">
        <f>95006.4+(1.18561*A181)+(27.858*B181)+(-72102*C181)+(3084.08*D181)+(2989.33*E181)+(-2890.2*F181)+(12984.1*G181)+(10433.9*H181)</f>
        <v>809312.81235160003</v>
      </c>
      <c r="K181">
        <f>I181-J181</f>
        <v>88718.227648400003</v>
      </c>
    </row>
    <row r="182" spans="1:11">
      <c r="A182">
        <v>68491.11</v>
      </c>
      <c r="B182">
        <v>11154</v>
      </c>
      <c r="C182">
        <v>1E-3</v>
      </c>
      <c r="D182">
        <v>24</v>
      </c>
      <c r="E182">
        <v>89.4</v>
      </c>
      <c r="F182">
        <v>5.27</v>
      </c>
      <c r="G182">
        <v>1</v>
      </c>
      <c r="H182">
        <v>3.9</v>
      </c>
      <c r="I182">
        <v>855341.28</v>
      </c>
      <c r="J182">
        <f>95006.4+(1.18561*A182)+(27.858*B182)+(-72102*C182)+(3084.08*D182)+(2989.33*E182)+(-2890.2*F182)+(12984.1*G182)+(10433.9*H182)</f>
        <v>866575.15292709984</v>
      </c>
      <c r="K182">
        <f>I182-J182</f>
        <v>-11233.872927099816</v>
      </c>
    </row>
    <row r="183" spans="1:11">
      <c r="A183">
        <v>45209.25</v>
      </c>
      <c r="B183">
        <v>9287</v>
      </c>
      <c r="C183">
        <v>0.14099999999999999</v>
      </c>
      <c r="D183">
        <v>22</v>
      </c>
      <c r="E183">
        <v>86.4</v>
      </c>
      <c r="F183">
        <v>13.22</v>
      </c>
      <c r="G183">
        <v>0</v>
      </c>
      <c r="H183">
        <v>3.6</v>
      </c>
      <c r="I183">
        <v>751393.88</v>
      </c>
      <c r="J183">
        <f>95006.4+(1.18561*A183)+(27.858*B183)+(-72102*C183)+(3084.08*D183)+(2989.33*E183)+(-2890.2*F183)+(12984.1*G183)+(10433.9*H183)</f>
        <v>722639.27089250006</v>
      </c>
      <c r="K183">
        <f>I183-J183</f>
        <v>28754.609107499942</v>
      </c>
    </row>
    <row r="184" spans="1:11">
      <c r="A184">
        <v>63010.23</v>
      </c>
      <c r="B184">
        <v>9812</v>
      </c>
      <c r="C184">
        <v>0.113</v>
      </c>
      <c r="D184">
        <v>24</v>
      </c>
      <c r="E184">
        <v>76.8</v>
      </c>
      <c r="F184">
        <v>1.02</v>
      </c>
      <c r="G184">
        <v>1</v>
      </c>
      <c r="H184">
        <v>3.8</v>
      </c>
      <c r="I184">
        <v>761077.08</v>
      </c>
      <c r="J184">
        <f>95006.4+(1.18561*A184)+(27.858*B184)+(-72102*C184)+(3084.08*D184)+(2989.33*E184)+(-2890.2*F184)+(12984.1*G184)+(10433.9*H184)</f>
        <v>788190.50879029999</v>
      </c>
      <c r="K184">
        <f>I184-J184</f>
        <v>-27113.428790300037</v>
      </c>
    </row>
    <row r="185" spans="1:11">
      <c r="A185">
        <v>57948.88</v>
      </c>
      <c r="B185">
        <v>10741</v>
      </c>
      <c r="C185">
        <v>7.0000000000000007E-2</v>
      </c>
      <c r="D185">
        <v>25</v>
      </c>
      <c r="E185">
        <v>90.1</v>
      </c>
      <c r="F185">
        <v>4.03</v>
      </c>
      <c r="G185">
        <v>0</v>
      </c>
      <c r="H185">
        <v>3.1</v>
      </c>
      <c r="I185">
        <v>819660.59</v>
      </c>
      <c r="J185">
        <f>95006.4+(1.18561*A185)+(27.858*B185)+(-72102*C185)+(3084.08*D185)+(2989.33*E185)+(-2890.2*F185)+(12984.1*G185)+(10433.9*H185)</f>
        <v>825025.02661679976</v>
      </c>
      <c r="K185">
        <f>I185-J185</f>
        <v>-5364.4366167997941</v>
      </c>
    </row>
    <row r="186" spans="1:11">
      <c r="A186">
        <v>71941.62</v>
      </c>
      <c r="B186">
        <v>6084</v>
      </c>
      <c r="C186">
        <v>7.1999999999999995E-2</v>
      </c>
      <c r="D186">
        <v>13</v>
      </c>
      <c r="E186">
        <v>93.7</v>
      </c>
      <c r="F186">
        <v>2.34</v>
      </c>
      <c r="G186">
        <v>0</v>
      </c>
      <c r="H186">
        <v>4.4000000000000004</v>
      </c>
      <c r="I186">
        <v>681855.56</v>
      </c>
      <c r="J186">
        <f>95006.4+(1.18561*A186)+(27.858*B186)+(-72102*C186)+(3084.08*D186)+(2989.33*E186)+(-2890.2*F186)+(12984.1*G186)+(10433.9*H186)</f>
        <v>703937.18508820015</v>
      </c>
      <c r="K186">
        <f>I186-J186</f>
        <v>-22081.62508820009</v>
      </c>
    </row>
    <row r="187" spans="1:11">
      <c r="A187">
        <v>57147.88</v>
      </c>
      <c r="B187">
        <v>5252</v>
      </c>
      <c r="C187">
        <v>0.161</v>
      </c>
      <c r="D187">
        <v>15</v>
      </c>
      <c r="E187">
        <v>95.5</v>
      </c>
      <c r="F187">
        <v>8.51</v>
      </c>
      <c r="G187">
        <v>0</v>
      </c>
      <c r="H187">
        <v>4.4000000000000004</v>
      </c>
      <c r="I187">
        <v>678311.17</v>
      </c>
      <c r="J187">
        <f>95006.4+(1.18561*A187)+(27.858*B187)+(-72102*C187)+(3084.08*D187)+(2989.33*E187)+(-2890.2*F187)+(12984.1*G187)+(10433.9*H187)</f>
        <v>650519.06500680011</v>
      </c>
      <c r="K187">
        <f>I187-J187</f>
        <v>27792.10499319993</v>
      </c>
    </row>
    <row r="188" spans="1:11">
      <c r="A188">
        <v>48031.74</v>
      </c>
      <c r="B188">
        <v>6516</v>
      </c>
      <c r="C188">
        <v>6.7000000000000004E-2</v>
      </c>
      <c r="D188">
        <v>14</v>
      </c>
      <c r="E188">
        <v>99</v>
      </c>
      <c r="F188">
        <v>0.48</v>
      </c>
      <c r="G188">
        <v>1</v>
      </c>
      <c r="H188">
        <v>4.3</v>
      </c>
      <c r="I188">
        <v>765906.95</v>
      </c>
      <c r="J188">
        <f>95006.4+(1.18561*A188)+(27.858*B188)+(-72102*C188)+(3084.08*D188)+(2989.33*E188)+(-2890.2*F188)+(12984.1*G188)+(10433.9*H188)</f>
        <v>724228.56926140003</v>
      </c>
      <c r="K188">
        <f>I188-J188</f>
        <v>41678.380738599924</v>
      </c>
    </row>
    <row r="189" spans="1:11">
      <c r="A189">
        <v>72784.800000000003</v>
      </c>
      <c r="B189">
        <v>7932</v>
      </c>
      <c r="C189">
        <v>9.4E-2</v>
      </c>
      <c r="D189">
        <v>20</v>
      </c>
      <c r="E189">
        <v>74.900000000000006</v>
      </c>
      <c r="F189">
        <v>13.62</v>
      </c>
      <c r="G189">
        <v>0</v>
      </c>
      <c r="H189">
        <v>4.2</v>
      </c>
      <c r="I189">
        <v>712546.38</v>
      </c>
      <c r="J189">
        <f>95006.4+(1.18561*A189)+(27.858*B189)+(-72102*C189)+(3084.08*D189)+(2989.33*E189)+(-2890.2*F189)+(12984.1*G189)+(10433.9*H189)</f>
        <v>685533.12772800005</v>
      </c>
      <c r="K189">
        <f>I189-J189</f>
        <v>27013.252271999954</v>
      </c>
    </row>
    <row r="190" spans="1:11">
      <c r="A190">
        <v>71641.899999999994</v>
      </c>
      <c r="B190">
        <v>3506</v>
      </c>
      <c r="C190">
        <v>0</v>
      </c>
      <c r="D190">
        <v>11</v>
      </c>
      <c r="E190">
        <v>86.4</v>
      </c>
      <c r="F190">
        <v>7.77</v>
      </c>
      <c r="G190">
        <v>0</v>
      </c>
      <c r="H190">
        <v>4.0999999999999996</v>
      </c>
      <c r="I190">
        <v>625993.82999999996</v>
      </c>
      <c r="J190">
        <f>95006.4+(1.18561*A190)+(27.858*B190)+(-72102*C190)+(3084.08*D190)+(2989.33*E190)+(-2890.2*F190)+(12984.1*G190)+(10433.9*H190)</f>
        <v>590141.02905899996</v>
      </c>
      <c r="K190">
        <f>I190-J190</f>
        <v>35852.800940999994</v>
      </c>
    </row>
    <row r="191" spans="1:11">
      <c r="A191">
        <v>55788.61</v>
      </c>
      <c r="B191">
        <v>2312</v>
      </c>
      <c r="C191">
        <v>5.8000000000000003E-2</v>
      </c>
      <c r="D191">
        <v>10</v>
      </c>
      <c r="E191">
        <v>91.3</v>
      </c>
      <c r="F191">
        <v>1.99</v>
      </c>
      <c r="G191">
        <v>0</v>
      </c>
      <c r="H191">
        <v>3.8</v>
      </c>
      <c r="I191">
        <v>550962.93000000005</v>
      </c>
      <c r="J191">
        <f>95006.4+(1.18561*A191)+(27.858*B191)+(-72102*C191)+(3084.08*D191)+(2989.33*E191)+(-2890.2*F191)+(12984.1*G191)+(10433.9*H191)</f>
        <v>559039.66490209987</v>
      </c>
      <c r="K191">
        <f>I191-J191</f>
        <v>-8076.7349020998226</v>
      </c>
    </row>
    <row r="192" spans="1:11">
      <c r="A192">
        <v>37705.879999999997</v>
      </c>
      <c r="B192">
        <v>1268</v>
      </c>
      <c r="C192">
        <v>0.25900000000000001</v>
      </c>
      <c r="D192">
        <v>9</v>
      </c>
      <c r="E192">
        <v>84.1</v>
      </c>
      <c r="F192">
        <v>4.7699999999999996</v>
      </c>
      <c r="G192">
        <v>0</v>
      </c>
      <c r="H192">
        <v>3.8</v>
      </c>
      <c r="I192">
        <v>443275.59</v>
      </c>
      <c r="J192">
        <f>95006.4+(1.18561*A192)+(27.858*B192)+(-72102*C192)+(3084.08*D192)+(2989.33*E192)+(-2890.2*F192)+(12984.1*G192)+(10433.9*H192)</f>
        <v>461382.33338680002</v>
      </c>
      <c r="K192">
        <f>I192-J192</f>
        <v>-18106.743386799993</v>
      </c>
    </row>
    <row r="193" spans="1:11">
      <c r="A193">
        <v>54966.18</v>
      </c>
      <c r="B193">
        <v>4423</v>
      </c>
      <c r="C193">
        <v>0.186</v>
      </c>
      <c r="D193">
        <v>13</v>
      </c>
      <c r="E193">
        <v>88.7</v>
      </c>
      <c r="F193">
        <v>0.2</v>
      </c>
      <c r="G193">
        <v>0</v>
      </c>
      <c r="H193">
        <v>4.4000000000000004</v>
      </c>
      <c r="I193">
        <v>554012.06999999995</v>
      </c>
      <c r="J193">
        <f>95006.4+(1.18561*A193)+(27.858*B193)+(-72102*C193)+(3084.08*D193)+(2989.33*E193)+(-2890.2*F193)+(12984.1*G193)+(10433.9*H193)</f>
        <v>620557.54566980002</v>
      </c>
      <c r="K193">
        <f>I193-J193</f>
        <v>-66545.475669800071</v>
      </c>
    </row>
    <row r="194" spans="1:11">
      <c r="A194">
        <v>81796.740000000005</v>
      </c>
      <c r="B194">
        <v>6177</v>
      </c>
      <c r="C194">
        <v>0.16400000000000001</v>
      </c>
      <c r="D194">
        <v>14</v>
      </c>
      <c r="E194">
        <v>87.9</v>
      </c>
      <c r="F194">
        <v>0.53</v>
      </c>
      <c r="G194">
        <v>0</v>
      </c>
      <c r="H194">
        <v>3.2</v>
      </c>
      <c r="I194">
        <v>643428.85</v>
      </c>
      <c r="J194">
        <f>95006.4+(1.18561*A194)+(27.858*B194)+(-72102*C194)+(3084.08*D194)+(2989.33*E194)+(-2890.2*F194)+(12984.1*G194)+(10433.9*H194)</f>
        <v>690035.47191139997</v>
      </c>
      <c r="K194">
        <f>I194-J194</f>
        <v>-46606.621911399998</v>
      </c>
    </row>
    <row r="195" spans="1:11">
      <c r="A195">
        <v>51133.43</v>
      </c>
      <c r="B195">
        <v>5150</v>
      </c>
      <c r="C195">
        <v>0.15</v>
      </c>
      <c r="D195">
        <v>12</v>
      </c>
      <c r="E195">
        <v>88.5</v>
      </c>
      <c r="F195">
        <v>1.54</v>
      </c>
      <c r="G195">
        <v>0</v>
      </c>
      <c r="H195">
        <v>3.2</v>
      </c>
      <c r="I195">
        <v>611924.27</v>
      </c>
      <c r="J195">
        <f>95006.4+(1.18561*A195)+(27.858*B195)+(-72102*C195)+(3084.08*D195)+(2989.33*E195)+(-2890.2*F195)+(12984.1*G195)+(10433.9*H195)</f>
        <v>618786.34294230002</v>
      </c>
      <c r="K195">
        <f>I195-J195</f>
        <v>-6862.0729423000012</v>
      </c>
    </row>
    <row r="196" spans="1:11">
      <c r="A196">
        <v>40220.18</v>
      </c>
      <c r="B196">
        <v>3783</v>
      </c>
      <c r="C196">
        <v>8.8999999999999996E-2</v>
      </c>
      <c r="D196">
        <v>14</v>
      </c>
      <c r="E196">
        <v>86.6</v>
      </c>
      <c r="F196">
        <v>3.63</v>
      </c>
      <c r="G196">
        <v>0</v>
      </c>
      <c r="H196">
        <v>3.7</v>
      </c>
      <c r="I196">
        <v>559422.02</v>
      </c>
      <c r="J196">
        <f>95006.4+(1.18561*A196)+(27.858*B196)+(-72102*C196)+(3084.08*D196)+(2989.33*E196)+(-2890.2*F196)+(12984.1*G196)+(10433.9*H196)</f>
        <v>571828.68560980004</v>
      </c>
      <c r="K196">
        <f>I196-J196</f>
        <v>-12406.665609800024</v>
      </c>
    </row>
    <row r="197" spans="1:11">
      <c r="A197">
        <v>41657.64</v>
      </c>
      <c r="B197">
        <v>3135</v>
      </c>
      <c r="C197">
        <v>0.22900000000000001</v>
      </c>
      <c r="D197">
        <v>7</v>
      </c>
      <c r="E197">
        <v>85.4</v>
      </c>
      <c r="F197">
        <v>13.48</v>
      </c>
      <c r="G197">
        <v>0</v>
      </c>
      <c r="H197">
        <f>3.924</f>
        <v>3.9239999999999999</v>
      </c>
      <c r="I197">
        <v>449465.06</v>
      </c>
      <c r="J197">
        <f>95006.4+(1.18561*A197)+(27.858*B197)+(-72102*C197)+(3084.08*D197)+(2989.33*E197)+(-2890.2*F197)+(12984.1*G197)+(10433.9*H197)</f>
        <v>494079.65616039996</v>
      </c>
      <c r="K197">
        <f>I197-J197</f>
        <v>-44614.59616039996</v>
      </c>
    </row>
    <row r="198" spans="1:11">
      <c r="A198">
        <v>71851.45</v>
      </c>
      <c r="B198">
        <v>4970</v>
      </c>
      <c r="C198">
        <v>9.8000000000000004E-2</v>
      </c>
      <c r="D198">
        <v>11</v>
      </c>
      <c r="E198">
        <v>89.6</v>
      </c>
      <c r="F198">
        <v>0.2</v>
      </c>
      <c r="G198">
        <v>0</v>
      </c>
      <c r="H198">
        <v>4.2</v>
      </c>
      <c r="I198">
        <v>691447.43</v>
      </c>
      <c r="J198">
        <f>95006.4+(1.18561*A198)+(27.858*B198)+(-72102*C198)+(3084.08*D198)+(2989.33*E198)+(-2890.2*F198)+(12984.1*G198)+(10433.9*H198)</f>
        <v>656595.64963449992</v>
      </c>
      <c r="K198">
        <f>I198-J198</f>
        <v>34851.780365500133</v>
      </c>
    </row>
    <row r="199" spans="1:11">
      <c r="A199">
        <v>54002.83</v>
      </c>
      <c r="B199">
        <v>4366</v>
      </c>
      <c r="C199">
        <v>2.7E-2</v>
      </c>
      <c r="D199">
        <v>15</v>
      </c>
      <c r="E199">
        <v>90.6</v>
      </c>
      <c r="F199">
        <v>12.82</v>
      </c>
      <c r="G199">
        <v>0</v>
      </c>
      <c r="H199">
        <v>4.5999999999999996</v>
      </c>
      <c r="I199">
        <v>574066.61</v>
      </c>
      <c r="J199">
        <f>95006.4+(1.18561*A199)+(27.858*B199)+(-72102*C199)+(3084.08*D199)+(2989.33*E199)+(-2890.2*F199)+(12984.1*G199)+(10433.9*H199)</f>
        <v>606752.04327629996</v>
      </c>
      <c r="K199">
        <f>I199-J199</f>
        <v>-32685.433276299969</v>
      </c>
    </row>
    <row r="200" spans="1:11">
      <c r="A200">
        <v>54479.33</v>
      </c>
      <c r="B200">
        <v>5012</v>
      </c>
      <c r="C200">
        <v>0.28399999999999997</v>
      </c>
      <c r="D200">
        <v>13</v>
      </c>
      <c r="E200">
        <v>86</v>
      </c>
      <c r="F200">
        <v>2.2400000000000002</v>
      </c>
      <c r="G200">
        <v>1</v>
      </c>
      <c r="H200">
        <v>4.3</v>
      </c>
      <c r="I200">
        <v>578949.84</v>
      </c>
      <c r="J200">
        <f>95006.4+(1.18561*A200)+(27.858*B200)+(-72102*C200)+(3084.08*D200)+(2989.33*E200)+(-2890.2*F200)+(12984.1*G200)+(10433.9*H200)</f>
        <v>627296.20844129997</v>
      </c>
      <c r="K200">
        <f>I200-J200</f>
        <v>-48346.368441300001</v>
      </c>
    </row>
    <row r="201" spans="1:11">
      <c r="A201">
        <v>61391.8</v>
      </c>
      <c r="B201">
        <v>5575</v>
      </c>
      <c r="C201">
        <v>0.189</v>
      </c>
      <c r="D201">
        <v>18</v>
      </c>
      <c r="E201">
        <v>90</v>
      </c>
      <c r="F201">
        <v>1.8</v>
      </c>
      <c r="G201">
        <v>0</v>
      </c>
      <c r="H201">
        <v>4.8</v>
      </c>
      <c r="I201">
        <v>735786.64</v>
      </c>
      <c r="J201">
        <f>95006.4+(1.18561*A201)+(27.858*B201)+(-72102*C201)+(3084.08*D201)+(2989.33*E201)+(-2890.2*F201)+(12984.1*G201)+(10433.9*H201)</f>
        <v>678907.70399800001</v>
      </c>
      <c r="K201">
        <f>I201-J201</f>
        <v>56878.936002000002</v>
      </c>
    </row>
    <row r="202" spans="1:11">
      <c r="A202">
        <v>22312.93</v>
      </c>
      <c r="B202">
        <v>5955</v>
      </c>
      <c r="C202">
        <v>0.123</v>
      </c>
      <c r="D202">
        <v>13</v>
      </c>
      <c r="E202">
        <v>84.2</v>
      </c>
      <c r="F202">
        <v>0.41</v>
      </c>
      <c r="G202">
        <v>1</v>
      </c>
      <c r="H202">
        <v>4.5999999999999996</v>
      </c>
      <c r="I202">
        <v>598904.9</v>
      </c>
      <c r="J202">
        <f>95006.4+(1.18561*A202)+(27.858*B202)+(-72102*C202)+(3084.08*D202)+(2989.33*E202)+(-2890.2*F202)+(12984.1*G202)+(10433.9*H202)</f>
        <v>630076.36093729991</v>
      </c>
      <c r="K202">
        <f>I202-J202</f>
        <v>-31171.460937299882</v>
      </c>
    </row>
    <row r="203" spans="1:11">
      <c r="A203">
        <v>78111.97</v>
      </c>
      <c r="B203">
        <v>6389</v>
      </c>
      <c r="C203">
        <v>0.15</v>
      </c>
      <c r="D203">
        <v>13</v>
      </c>
      <c r="E203">
        <v>83.9</v>
      </c>
      <c r="F203">
        <v>3.05</v>
      </c>
      <c r="G203">
        <v>0</v>
      </c>
      <c r="H203">
        <v>4.8</v>
      </c>
      <c r="I203">
        <v>787715.51</v>
      </c>
      <c r="J203">
        <f>95006.4+(1.18561*A203)+(27.858*B203)+(-72102*C203)+(3084.08*D203)+(2989.33*E203)+(-2890.2*F203)+(12984.1*G203)+(10433.9*H203)</f>
        <v>686951.63175169996</v>
      </c>
      <c r="K203">
        <f>I203-J203</f>
        <v>100763.87824830005</v>
      </c>
    </row>
    <row r="204" spans="1:11">
      <c r="A204">
        <v>35203.230000000003</v>
      </c>
      <c r="B204">
        <v>6896</v>
      </c>
      <c r="C204">
        <v>3.2000000000000001E-2</v>
      </c>
      <c r="D204">
        <v>14</v>
      </c>
      <c r="E204">
        <v>80.8</v>
      </c>
      <c r="F204">
        <v>8.44</v>
      </c>
      <c r="G204">
        <v>1</v>
      </c>
      <c r="H204">
        <v>5</v>
      </c>
      <c r="I204">
        <v>607084.92000000004</v>
      </c>
      <c r="J204">
        <f>95006.4+(1.18561*A204)+(27.858*B204)+(-72102*C204)+(3084.08*D204)+(2989.33*E204)+(-2890.2*F204)+(12984.1*G204)+(10433.9*H204)</f>
        <v>652020.50152030005</v>
      </c>
      <c r="K204">
        <f>I204-J204</f>
        <v>-44935.581520300009</v>
      </c>
    </row>
    <row r="205" spans="1:11">
      <c r="A205">
        <v>64104.28</v>
      </c>
      <c r="B205">
        <v>6015</v>
      </c>
      <c r="C205">
        <v>0.127</v>
      </c>
      <c r="D205">
        <v>15</v>
      </c>
      <c r="E205">
        <v>88.7</v>
      </c>
      <c r="F205">
        <v>0.78</v>
      </c>
      <c r="G205">
        <v>0</v>
      </c>
      <c r="H205">
        <v>4</v>
      </c>
      <c r="I205">
        <v>650795.49</v>
      </c>
      <c r="J205">
        <f>95006.4+(1.18561*A205)+(27.858*B205)+(-72102*C205)+(3084.08*D205)+(2989.33*E205)+(-2890.2*F205)+(12984.1*G205)+(10433.9*H205)</f>
        <v>680314.00641079992</v>
      </c>
      <c r="K205">
        <f>I205-J205</f>
        <v>-29518.51641079993</v>
      </c>
    </row>
    <row r="206" spans="1:11">
      <c r="A206">
        <v>92090.14</v>
      </c>
      <c r="B206">
        <v>9476</v>
      </c>
      <c r="C206">
        <v>7.0000000000000007E-2</v>
      </c>
      <c r="D206">
        <v>24</v>
      </c>
      <c r="E206">
        <v>94.3</v>
      </c>
      <c r="F206">
        <v>0.87</v>
      </c>
      <c r="G206">
        <v>0</v>
      </c>
      <c r="H206">
        <v>3.7</v>
      </c>
      <c r="I206">
        <v>825060.52</v>
      </c>
      <c r="J206">
        <f>95006.4+(1.18561*A206)+(27.858*B206)+(-72102*C206)+(3084.08*D206)+(2989.33*E206)+(-2890.2*F206)+(12984.1*G206)+(10433.9*H206)</f>
        <v>855127.35388539988</v>
      </c>
      <c r="K206">
        <f>I206-J206</f>
        <v>-30066.833885399858</v>
      </c>
    </row>
    <row r="207" spans="1:11">
      <c r="A207">
        <v>54300.87</v>
      </c>
      <c r="B207">
        <v>7875</v>
      </c>
      <c r="C207">
        <v>0.107</v>
      </c>
      <c r="D207">
        <v>19</v>
      </c>
      <c r="E207">
        <v>94.1</v>
      </c>
      <c r="F207">
        <v>0.95</v>
      </c>
      <c r="G207">
        <v>0</v>
      </c>
      <c r="H207">
        <v>3.7</v>
      </c>
      <c r="I207">
        <v>795464.47</v>
      </c>
      <c r="J207">
        <f>95006.4+(1.18561*A207)+(27.858*B207)+(-72102*C207)+(3084.08*D207)+(2989.33*E207)+(-2890.2*F207)+(12984.1*G207)+(10433.9*H207)</f>
        <v>746806.10348070005</v>
      </c>
      <c r="K207">
        <f>I207-J207</f>
        <v>48658.366519299918</v>
      </c>
    </row>
    <row r="208" spans="1:11">
      <c r="A208">
        <v>37983.35</v>
      </c>
      <c r="B208">
        <v>9283</v>
      </c>
      <c r="C208">
        <v>0.14899999999999999</v>
      </c>
      <c r="D208">
        <v>19</v>
      </c>
      <c r="E208">
        <v>83.2</v>
      </c>
      <c r="F208">
        <v>3.82</v>
      </c>
      <c r="G208">
        <v>0</v>
      </c>
      <c r="H208">
        <v>3.7</v>
      </c>
      <c r="I208">
        <v>671868.59</v>
      </c>
      <c r="J208">
        <f>95006.4+(1.18561*A208)+(27.858*B208)+(-72102*C208)+(3084.08*D208)+(2989.33*E208)+(-2890.2*F208)+(12984.1*G208)+(10433.9*H208)</f>
        <v>722777.09759350016</v>
      </c>
      <c r="K208">
        <f>I208-J208</f>
        <v>-50908.507593500195</v>
      </c>
    </row>
    <row r="209" spans="1:11">
      <c r="A209">
        <v>56413.83</v>
      </c>
      <c r="B209">
        <v>8303</v>
      </c>
      <c r="C209">
        <v>0.11600000000000001</v>
      </c>
      <c r="D209">
        <v>18</v>
      </c>
      <c r="E209">
        <v>93.6</v>
      </c>
      <c r="F209">
        <v>2.7</v>
      </c>
      <c r="G209">
        <v>0</v>
      </c>
      <c r="H209">
        <v>3.7</v>
      </c>
      <c r="I209">
        <v>675917.63</v>
      </c>
      <c r="J209">
        <f>95006.4+(1.18561*A209)+(27.858*B209)+(-72102*C209)+(3084.08*D209)+(2989.33*E209)+(-2890.2*F209)+(12984.1*G209)+(10433.9*H209)</f>
        <v>750948.96098630002</v>
      </c>
      <c r="K209">
        <f>I209-J209</f>
        <v>-75031.330986300018</v>
      </c>
    </row>
    <row r="210" spans="1:11">
      <c r="A210">
        <v>63457.19</v>
      </c>
      <c r="B210">
        <v>10125</v>
      </c>
      <c r="C210">
        <v>9.7000000000000003E-2</v>
      </c>
      <c r="D210">
        <v>24</v>
      </c>
      <c r="E210">
        <v>87</v>
      </c>
      <c r="F210">
        <v>3.84</v>
      </c>
      <c r="G210">
        <v>1</v>
      </c>
      <c r="H210">
        <v>3.7</v>
      </c>
      <c r="I210">
        <v>810446.53</v>
      </c>
      <c r="J210">
        <f>95006.4+(1.18561*A210)+(27.858*B210)+(-72102*C210)+(3084.08*D210)+(2989.33*E210)+(-2890.2*F210)+(12984.1*G210)+(10433.9*H210)</f>
        <v>819891.02703590004</v>
      </c>
      <c r="K210">
        <f>I210-J210</f>
        <v>-9444.4970359000145</v>
      </c>
    </row>
    <row r="211" spans="1:11">
      <c r="A211">
        <v>62949.7</v>
      </c>
      <c r="B211">
        <v>9458</v>
      </c>
      <c r="C211">
        <v>0.17100000000000001</v>
      </c>
      <c r="D211">
        <v>19</v>
      </c>
      <c r="E211">
        <v>84.9</v>
      </c>
      <c r="F211">
        <v>5.09</v>
      </c>
      <c r="G211">
        <v>0</v>
      </c>
      <c r="H211">
        <v>3.3</v>
      </c>
      <c r="I211">
        <v>691288.19</v>
      </c>
      <c r="J211">
        <f>95006.4+(1.18561*A211)+(27.858*B211)+(-72102*C211)+(3084.08*D211)+(2989.33*E211)+(-2890.2*F211)+(12984.1*G211)+(10433.9*H211)</f>
        <v>752904.10481699998</v>
      </c>
      <c r="K211">
        <f>I211-J211</f>
        <v>-61615.914817000041</v>
      </c>
    </row>
    <row r="212" spans="1:11">
      <c r="A212">
        <v>107970.19</v>
      </c>
      <c r="B212">
        <v>12870</v>
      </c>
      <c r="C212">
        <v>2.9000000000000001E-2</v>
      </c>
      <c r="D212">
        <v>31</v>
      </c>
      <c r="E212">
        <v>91.7</v>
      </c>
      <c r="F212">
        <v>3.82</v>
      </c>
      <c r="G212">
        <v>1</v>
      </c>
      <c r="H212">
        <v>3.7</v>
      </c>
      <c r="I212">
        <v>946833.54</v>
      </c>
      <c r="J212">
        <f>95006.4+(1.18561*A212)+(27.858*B212)+(-72102*C212)+(3084.08*D212)+(2989.33*E212)+(-2890.2*F212)+(12984.1*G212)+(10433.9*H212)</f>
        <v>989735.44596589997</v>
      </c>
      <c r="K212">
        <f>I212-J212</f>
        <v>-42901.905965899932</v>
      </c>
    </row>
    <row r="213" spans="1:11">
      <c r="A213">
        <v>49405.75</v>
      </c>
      <c r="B213">
        <v>9752</v>
      </c>
      <c r="C213">
        <v>9.2999999999999999E-2</v>
      </c>
      <c r="D213">
        <v>21</v>
      </c>
      <c r="E213">
        <v>87</v>
      </c>
      <c r="F213">
        <v>12.28</v>
      </c>
      <c r="G213">
        <v>0</v>
      </c>
      <c r="H213">
        <v>4.0999999999999996</v>
      </c>
      <c r="I213">
        <v>761963.23</v>
      </c>
      <c r="J213">
        <f>95006.4+(1.18561*A213)+(27.858*B213)+(-72102*C213)+(3084.08*D213)+(2989.33*E213)+(-2890.2*F213)+(12984.1*G213)+(10433.9*H213)</f>
        <v>750672.80525750003</v>
      </c>
      <c r="K213">
        <f>I213-J213</f>
        <v>11290.424742499948</v>
      </c>
    </row>
    <row r="214" spans="1:11">
      <c r="A214">
        <v>50887.46</v>
      </c>
      <c r="B214">
        <v>9505</v>
      </c>
      <c r="C214">
        <v>9.0999999999999998E-2</v>
      </c>
      <c r="D214">
        <v>25</v>
      </c>
      <c r="E214">
        <v>89.7</v>
      </c>
      <c r="F214">
        <v>2.8</v>
      </c>
      <c r="G214">
        <v>0</v>
      </c>
      <c r="H214">
        <v>4.3</v>
      </c>
      <c r="I214">
        <v>812152.6</v>
      </c>
      <c r="J214">
        <f>95006.4+(1.18561*A214)+(27.858*B214)+(-72102*C214)+(3084.08*D214)+(2989.33*E214)+(-2890.2*F214)+(12984.1*G214)+(10433.9*H214)</f>
        <v>795586.20045059989</v>
      </c>
      <c r="K214">
        <f>I214-J214</f>
        <v>16566.399549400085</v>
      </c>
    </row>
    <row r="215" spans="1:11">
      <c r="A215">
        <v>41819.449999999997</v>
      </c>
      <c r="B215">
        <v>9412</v>
      </c>
      <c r="C215">
        <v>0.15</v>
      </c>
      <c r="D215">
        <v>22</v>
      </c>
      <c r="E215">
        <v>91</v>
      </c>
      <c r="F215">
        <v>3.67</v>
      </c>
      <c r="G215">
        <v>0</v>
      </c>
      <c r="H215">
        <v>4.2</v>
      </c>
      <c r="I215">
        <v>804975.5</v>
      </c>
      <c r="J215">
        <f>95006.4+(1.18561*A215)+(27.858*B215)+(-72102*C215)+(3084.08*D215)+(2989.33*E215)+(-2890.2*F215)+(12984.1*G215)+(10433.9*H215)</f>
        <v>769066.29011449998</v>
      </c>
      <c r="K215">
        <f>I215-J215</f>
        <v>35909.209885500022</v>
      </c>
    </row>
    <row r="216" spans="1:11">
      <c r="A216">
        <v>35296.54</v>
      </c>
      <c r="B216">
        <v>9644</v>
      </c>
      <c r="C216">
        <v>0</v>
      </c>
      <c r="D216">
        <v>22</v>
      </c>
      <c r="E216">
        <v>88</v>
      </c>
      <c r="F216">
        <v>2.81</v>
      </c>
      <c r="G216">
        <v>0</v>
      </c>
      <c r="H216">
        <v>4.7</v>
      </c>
      <c r="I216">
        <v>752321.72</v>
      </c>
      <c r="J216">
        <f>95006.4+(1.18561*A216)+(27.858*B216)+(-72102*C216)+(3084.08*D216)+(2989.33*E216)+(-2890.2*F216)+(12984.1*G216)+(10433.9*H216)</f>
        <v>777345.55078939989</v>
      </c>
      <c r="K216">
        <f>I216-J216</f>
        <v>-25023.830789399915</v>
      </c>
    </row>
    <row r="217" spans="1:11">
      <c r="A217">
        <v>47391.09</v>
      </c>
      <c r="B217">
        <v>11224</v>
      </c>
      <c r="C217">
        <v>0.14699999999999999</v>
      </c>
      <c r="D217">
        <v>25</v>
      </c>
      <c r="E217">
        <v>88.4</v>
      </c>
      <c r="F217">
        <v>2.44</v>
      </c>
      <c r="G217">
        <v>0</v>
      </c>
      <c r="H217">
        <v>4.9000000000000004</v>
      </c>
      <c r="I217">
        <v>836908.24</v>
      </c>
      <c r="J217">
        <f>95006.4+(1.18561*A217)+(27.858*B217)+(-72102*C217)+(3084.08*D217)+(2989.33*E217)+(-2890.2*F217)+(12984.1*G217)+(10433.9*H217)</f>
        <v>838705.74221489998</v>
      </c>
      <c r="K217">
        <f>I217-J217</f>
        <v>-1797.5022148999851</v>
      </c>
    </row>
    <row r="218" spans="1:11">
      <c r="A218">
        <v>69180.539999999994</v>
      </c>
      <c r="B218">
        <v>5394</v>
      </c>
      <c r="C218">
        <v>0.126</v>
      </c>
      <c r="D218">
        <v>12</v>
      </c>
      <c r="E218">
        <v>82.9</v>
      </c>
      <c r="F218">
        <v>3.27</v>
      </c>
      <c r="G218">
        <v>0</v>
      </c>
      <c r="H218">
        <v>3.3</v>
      </c>
      <c r="I218">
        <v>674289.1</v>
      </c>
      <c r="J218">
        <f>95006.4+(1.18561*A218)+(27.858*B218)+(-72102*C218)+(3084.08*D218)+(2989.33*E218)+(-2890.2*F218)+(12984.1*G218)+(10433.9*H218)</f>
        <v>628014.07302939997</v>
      </c>
      <c r="K218">
        <f>I218-J218</f>
        <v>46275.026970600011</v>
      </c>
    </row>
    <row r="219" spans="1:11">
      <c r="A219">
        <v>33987.33</v>
      </c>
      <c r="B219">
        <v>5014</v>
      </c>
      <c r="C219">
        <v>0.246</v>
      </c>
      <c r="D219">
        <v>17</v>
      </c>
      <c r="E219">
        <v>94.3</v>
      </c>
      <c r="F219">
        <v>10.34</v>
      </c>
      <c r="G219">
        <v>0</v>
      </c>
      <c r="H219">
        <v>3.9</v>
      </c>
      <c r="I219">
        <v>622892.42000000004</v>
      </c>
      <c r="J219">
        <f>95006.4+(1.18561*A219)+(27.858*B219)+(-72102*C219)+(3084.08*D219)+(2989.33*E219)+(-2890.2*F219)+(12984.1*G219)+(10433.9*H219)</f>
        <v>602375.75932129996</v>
      </c>
      <c r="K219">
        <f>I219-J219</f>
        <v>20516.660678700078</v>
      </c>
    </row>
    <row r="220" spans="1:11">
      <c r="A220">
        <v>58785.33</v>
      </c>
      <c r="B220">
        <v>4467</v>
      </c>
      <c r="C220">
        <v>0.22900000000000001</v>
      </c>
      <c r="D220">
        <v>14</v>
      </c>
      <c r="E220">
        <v>90.7</v>
      </c>
      <c r="F220">
        <v>1.92</v>
      </c>
      <c r="G220">
        <v>0</v>
      </c>
      <c r="H220">
        <v>3.7</v>
      </c>
      <c r="I220">
        <v>673348.56</v>
      </c>
      <c r="J220">
        <f>95006.4+(1.18561*A220)+(27.858*B220)+(-72102*C220)+(3084.08*D220)+(2989.33*E220)+(-2890.2*F220)+(12984.1*G220)+(10433.9*H220)</f>
        <v>619998.8001013</v>
      </c>
      <c r="K220">
        <f>I220-J220</f>
        <v>53349.759898700053</v>
      </c>
    </row>
    <row r="221" spans="1:11">
      <c r="A221">
        <v>16451.849999999999</v>
      </c>
      <c r="B221">
        <v>4678</v>
      </c>
      <c r="C221">
        <v>0.13300000000000001</v>
      </c>
      <c r="D221">
        <v>11</v>
      </c>
      <c r="E221">
        <v>95.9</v>
      </c>
      <c r="F221">
        <v>3.1</v>
      </c>
      <c r="G221">
        <v>0</v>
      </c>
      <c r="H221">
        <v>3.9</v>
      </c>
      <c r="I221">
        <v>606278.30000000005</v>
      </c>
      <c r="J221">
        <f>95006.4+(1.18561*A221)+(27.858*B221)+(-72102*C221)+(3084.08*D221)+(2989.33*E221)+(-2890.2*F221)+(12984.1*G221)+(10433.9*H221)</f>
        <v>587576.25287850003</v>
      </c>
      <c r="K221">
        <f>I221-J221</f>
        <v>18702.047121500014</v>
      </c>
    </row>
    <row r="222" spans="1:11">
      <c r="A222">
        <v>53367.73</v>
      </c>
      <c r="B222">
        <v>7291</v>
      </c>
      <c r="C222">
        <v>0.14599999999999999</v>
      </c>
      <c r="D222">
        <v>18</v>
      </c>
      <c r="E222">
        <v>90.6</v>
      </c>
      <c r="F222">
        <v>6.34</v>
      </c>
      <c r="G222">
        <v>1</v>
      </c>
      <c r="H222">
        <v>3.8</v>
      </c>
      <c r="I222">
        <v>712219.81</v>
      </c>
      <c r="J222">
        <f>95006.4+(1.18561*A222)+(27.858*B222)+(-72102*C222)+(3084.08*D222)+(2989.33*E222)+(-2890.2*F222)+(12984.1*G222)+(10433.9*H222)</f>
        <v>711521.29036529991</v>
      </c>
      <c r="K222">
        <f>I222-J222</f>
        <v>698.51963470014744</v>
      </c>
    </row>
    <row r="223" spans="1:11">
      <c r="A223">
        <v>27194.639999999999</v>
      </c>
      <c r="B223">
        <v>7404</v>
      </c>
      <c r="C223">
        <v>8.7999999999999995E-2</v>
      </c>
      <c r="D223">
        <v>18</v>
      </c>
      <c r="E223">
        <v>90.2</v>
      </c>
      <c r="F223">
        <v>1.2</v>
      </c>
      <c r="G223">
        <v>0</v>
      </c>
      <c r="H223">
        <v>3.4</v>
      </c>
      <c r="I223">
        <v>672670.54</v>
      </c>
      <c r="J223">
        <f>95006.4+(1.18561*A223)+(27.858*B223)+(-72102*C223)+(3084.08*D223)+(2989.33*E223)+(-2890.2*F223)+(12984.1*G223)+(10433.9*H223)</f>
        <v>684322.31913039996</v>
      </c>
      <c r="K223">
        <f>I223-J223</f>
        <v>-11651.779130399926</v>
      </c>
    </row>
    <row r="224" spans="1:11">
      <c r="A224">
        <v>66962.740000000005</v>
      </c>
      <c r="B224">
        <v>7880</v>
      </c>
      <c r="C224">
        <v>0.11600000000000001</v>
      </c>
      <c r="D224">
        <v>19</v>
      </c>
      <c r="E224">
        <v>90.4</v>
      </c>
      <c r="F224">
        <v>4.5</v>
      </c>
      <c r="G224">
        <v>0</v>
      </c>
      <c r="H224">
        <v>3.3</v>
      </c>
      <c r="I224">
        <v>732667.92</v>
      </c>
      <c r="J224">
        <f>95006.4+(1.18561*A224)+(27.858*B224)+(-72102*C224)+(3084.08*D224)+(2989.33*E224)+(-2890.2*F224)+(12984.1*G224)+(10433.9*H224)</f>
        <v>735814.22417140007</v>
      </c>
      <c r="K224">
        <f>I224-J224</f>
        <v>-3146.3041714000283</v>
      </c>
    </row>
    <row r="225" spans="1:11">
      <c r="A225">
        <v>73540.990000000005</v>
      </c>
      <c r="B225">
        <v>8773</v>
      </c>
      <c r="C225">
        <v>3.5000000000000003E-2</v>
      </c>
      <c r="D225">
        <v>21</v>
      </c>
      <c r="E225">
        <v>84.4</v>
      </c>
      <c r="F225">
        <v>6.68</v>
      </c>
      <c r="G225">
        <v>0</v>
      </c>
      <c r="H225">
        <v>3.6</v>
      </c>
      <c r="I225">
        <v>723531.4</v>
      </c>
      <c r="J225">
        <f>95006.4+(1.18561*A225)+(27.858*B225)+(-72102*C225)+(3084.08*D225)+(2989.33*E225)+(-2890.2*F225)+(12984.1*G225)+(10433.9*H225)</f>
        <v>759392.63315390004</v>
      </c>
      <c r="K225">
        <f>I225-J225</f>
        <v>-35861.233153900015</v>
      </c>
    </row>
    <row r="226" spans="1:11">
      <c r="A226">
        <v>68212.289999999994</v>
      </c>
      <c r="B226">
        <v>4713</v>
      </c>
      <c r="C226">
        <v>0.19800000000000001</v>
      </c>
      <c r="D226">
        <v>15</v>
      </c>
      <c r="E226">
        <v>82.6</v>
      </c>
      <c r="F226">
        <v>4.07</v>
      </c>
      <c r="G226">
        <v>1</v>
      </c>
      <c r="H226">
        <v>3</v>
      </c>
      <c r="I226">
        <v>641564.6</v>
      </c>
      <c r="J226">
        <f>95006.4+(1.18561*A226)+(27.858*B226)+(-72102*C226)+(3084.08*D226)+(2989.33*E226)+(-2890.2*F226)+(12984.1*G226)+(10433.9*H226)</f>
        <v>618600.6751469</v>
      </c>
      <c r="K226">
        <f>I226-J226</f>
        <v>22963.924853099976</v>
      </c>
    </row>
    <row r="227" spans="1:11">
      <c r="A227">
        <v>57225.98</v>
      </c>
      <c r="B227">
        <v>2842</v>
      </c>
      <c r="C227">
        <v>0.112</v>
      </c>
      <c r="D227">
        <v>10</v>
      </c>
      <c r="E227">
        <v>79.5</v>
      </c>
      <c r="F227">
        <v>5.45</v>
      </c>
      <c r="G227">
        <v>0</v>
      </c>
      <c r="H227">
        <v>3.4</v>
      </c>
      <c r="I227">
        <v>536545.49</v>
      </c>
      <c r="J227">
        <f>95006.4+(1.18561*A227)+(27.858*B227)+(-72102*C227)+(3084.08*D227)+(2989.33*E227)+(-2890.2*F227)+(12984.1*G227)+(10433.9*H227)</f>
        <v>522167.31114779995</v>
      </c>
      <c r="K227">
        <f>I227-J227</f>
        <v>14378.178852200042</v>
      </c>
    </row>
    <row r="228" spans="1:11">
      <c r="A228">
        <v>42932.02</v>
      </c>
      <c r="B228">
        <v>3872</v>
      </c>
      <c r="C228">
        <v>0.17100000000000001</v>
      </c>
      <c r="D228">
        <v>12</v>
      </c>
      <c r="E228">
        <v>83.2</v>
      </c>
      <c r="F228">
        <v>15.58</v>
      </c>
      <c r="G228">
        <v>0</v>
      </c>
      <c r="H228">
        <v>3.3</v>
      </c>
      <c r="I228">
        <v>527681.56000000006</v>
      </c>
      <c r="J228">
        <f>95006.4+(1.18561*A228)+(27.858*B228)+(-72102*C228)+(3084.08*D228)+(2989.33*E228)+(-2890.2*F228)+(12984.1*G228)+(10433.9*H228)</f>
        <v>516567.53623219999</v>
      </c>
      <c r="K228">
        <f>I228-J228</f>
        <v>11114.02376780007</v>
      </c>
    </row>
    <row r="229" spans="1:11">
      <c r="A229">
        <v>39341.449999999997</v>
      </c>
      <c r="B229">
        <v>1375</v>
      </c>
      <c r="C229">
        <v>9.2999999999999999E-2</v>
      </c>
      <c r="D229">
        <v>5</v>
      </c>
      <c r="E229">
        <v>95</v>
      </c>
      <c r="F229">
        <v>5.32</v>
      </c>
      <c r="G229">
        <v>0</v>
      </c>
      <c r="H229">
        <f>3.924</f>
        <v>3.9239999999999999</v>
      </c>
      <c r="I229">
        <v>529598.93999999994</v>
      </c>
      <c r="J229">
        <f>95006.4+(1.18561*A229)+(27.858*B229)+(-72102*C229)+(3084.08*D229)+(2989.33*E229)+(-2890.2*F229)+(12984.1*G229)+(10433.9*H229)</f>
        <v>498222.79013449996</v>
      </c>
      <c r="K229">
        <f>I229-J229</f>
        <v>31376.149865499989</v>
      </c>
    </row>
    <row r="230" spans="1:11">
      <c r="A230">
        <v>37324.230000000003</v>
      </c>
      <c r="B230">
        <v>5957</v>
      </c>
      <c r="C230">
        <v>7.0999999999999994E-2</v>
      </c>
      <c r="D230">
        <v>12</v>
      </c>
      <c r="E230">
        <v>85.9</v>
      </c>
      <c r="F230">
        <v>0.37</v>
      </c>
      <c r="G230">
        <v>0</v>
      </c>
      <c r="H230">
        <v>3.8</v>
      </c>
      <c r="I230">
        <v>570963.31000000006</v>
      </c>
      <c r="J230">
        <f>95006.4+(1.18561*A230)+(27.858*B230)+(-72102*C230)+(3084.08*D230)+(2989.33*E230)+(-2890.2*F230)+(12984.1*G230)+(10433.9*H230)</f>
        <v>632461.09733030002</v>
      </c>
      <c r="K230">
        <f>I230-J230</f>
        <v>-61497.787330299965</v>
      </c>
    </row>
    <row r="231" spans="1:11">
      <c r="A231">
        <v>113736</v>
      </c>
      <c r="B231">
        <v>8961</v>
      </c>
      <c r="C231">
        <v>0.20200000000000001</v>
      </c>
      <c r="D231">
        <v>24</v>
      </c>
      <c r="E231">
        <v>86.2</v>
      </c>
      <c r="F231">
        <v>21.63</v>
      </c>
      <c r="G231">
        <v>0</v>
      </c>
      <c r="H231">
        <v>4</v>
      </c>
      <c r="I231">
        <v>870937.4</v>
      </c>
      <c r="J231">
        <f>95006.4+(1.18561*A231)+(27.858*B231)+(-72102*C231)+(3084.08*D231)+(2989.33*E231)+(-2890.2*F231)+(12984.1*G231)+(10433.9*H231)</f>
        <v>775842.61296000006</v>
      </c>
      <c r="K231">
        <f>I231-J231</f>
        <v>95094.787039999967</v>
      </c>
    </row>
    <row r="232" spans="1:11">
      <c r="A232">
        <v>33173.949999999997</v>
      </c>
      <c r="B232">
        <v>6545</v>
      </c>
      <c r="C232">
        <v>0.16900000000000001</v>
      </c>
      <c r="D232">
        <v>15</v>
      </c>
      <c r="E232">
        <v>84.4</v>
      </c>
      <c r="F232">
        <v>2.48</v>
      </c>
      <c r="G232">
        <v>0</v>
      </c>
      <c r="H232">
        <v>3.9</v>
      </c>
      <c r="I232">
        <v>596969.27</v>
      </c>
      <c r="J232">
        <f>95006.4+(1.18561*A232)+(27.858*B232)+(-72102*C232)+(3084.08*D232)+(2989.33*E232)+(-2890.2*F232)+(12984.1*G232)+(10433.9*H232)</f>
        <v>636568.30485950003</v>
      </c>
      <c r="K232">
        <f>I232-J232</f>
        <v>-39599.03485950001</v>
      </c>
    </row>
    <row r="233" spans="1:11">
      <c r="A233">
        <v>25818.080000000002</v>
      </c>
      <c r="B233">
        <v>5457</v>
      </c>
      <c r="C233">
        <v>0</v>
      </c>
      <c r="D233">
        <v>11</v>
      </c>
      <c r="E233">
        <v>95.4</v>
      </c>
      <c r="F233">
        <f>K71</f>
        <v>-30930.16245449998</v>
      </c>
      <c r="G233">
        <v>0</v>
      </c>
      <c r="H233">
        <v>3.7</v>
      </c>
      <c r="I233">
        <v>647512.85</v>
      </c>
      <c r="J233">
        <f>95006.4+(1.18561*A233)+(27.858*B233)+(-72102*C233)+(3084.08*D233)+(2989.33*E233)+(-2890.2*F233)+(12984.1*G233)+(10433.9*H233)</f>
        <v>90029705.597824648</v>
      </c>
      <c r="K233">
        <f>I233-J233</f>
        <v>-89382192.747824654</v>
      </c>
    </row>
    <row r="234" spans="1:11">
      <c r="A234">
        <v>47241.919999999998</v>
      </c>
      <c r="B234">
        <v>4264</v>
      </c>
      <c r="C234">
        <v>6.9000000000000006E-2</v>
      </c>
      <c r="D234">
        <v>13</v>
      </c>
      <c r="E234">
        <v>95.3</v>
      </c>
      <c r="F234">
        <v>0.85</v>
      </c>
      <c r="G234">
        <v>0</v>
      </c>
      <c r="H234">
        <v>4.3</v>
      </c>
      <c r="I234">
        <v>658072.14</v>
      </c>
      <c r="J234">
        <f>95006.4+(1.18561*A234)+(27.858*B234)+(-72102*C234)+(3084.08*D234)+(2989.33*E234)+(-2890.2*F234)+(12984.1*G234)+(10433.9*H234)</f>
        <v>632213.65577119996</v>
      </c>
      <c r="K234">
        <f>I234-J234</f>
        <v>25858.484228800051</v>
      </c>
    </row>
    <row r="235" spans="1:11">
      <c r="A235">
        <v>61650.79</v>
      </c>
      <c r="B235">
        <v>5321</v>
      </c>
      <c r="C235">
        <v>0.126</v>
      </c>
      <c r="D235">
        <v>17</v>
      </c>
      <c r="E235">
        <v>89.2</v>
      </c>
      <c r="F235">
        <v>2.13</v>
      </c>
      <c r="G235">
        <v>0</v>
      </c>
      <c r="H235">
        <v>4</v>
      </c>
      <c r="I235">
        <v>723305.11</v>
      </c>
      <c r="J235">
        <f>95006.4+(1.18561*A235)+(27.858*B235)+(-72102*C235)+(3084.08*D235)+(2989.33*E235)+(-2890.2*F235)+(12984.1*G235)+(10433.9*H235)</f>
        <v>661904.82913189987</v>
      </c>
      <c r="K235">
        <f>I235-J235</f>
        <v>61400.280868100119</v>
      </c>
    </row>
    <row r="236" spans="1:11">
      <c r="A236">
        <v>62582.71</v>
      </c>
      <c r="B236">
        <v>5479</v>
      </c>
      <c r="C236">
        <v>4.8000000000000001E-2</v>
      </c>
      <c r="D236">
        <v>16</v>
      </c>
      <c r="E236">
        <v>81.2</v>
      </c>
      <c r="F236">
        <v>1.46</v>
      </c>
      <c r="G236">
        <v>0</v>
      </c>
      <c r="H236">
        <v>4.5</v>
      </c>
      <c r="I236">
        <v>640666.53</v>
      </c>
      <c r="J236">
        <f>95006.4+(1.18561*A236)+(27.858*B236)+(-72102*C236)+(3084.08*D236)+(2989.33*E236)+(-2890.2*F236)+(12984.1*G236)+(10433.9*H236)</f>
        <v>653189.90680310002</v>
      </c>
      <c r="K236">
        <f>I236-J236</f>
        <v>-12523.376803099993</v>
      </c>
    </row>
    <row r="237" spans="1:11">
      <c r="A237">
        <v>47944.14</v>
      </c>
      <c r="B237">
        <v>6169</v>
      </c>
      <c r="C237">
        <v>0.11899999999999999</v>
      </c>
      <c r="D237">
        <v>17</v>
      </c>
      <c r="E237">
        <v>92.2</v>
      </c>
      <c r="F237">
        <v>3.02</v>
      </c>
      <c r="G237">
        <v>0</v>
      </c>
      <c r="H237">
        <v>4.0999999999999996</v>
      </c>
      <c r="I237">
        <v>670629.48</v>
      </c>
      <c r="J237">
        <f>95006.4+(1.18561*A237)+(27.858*B237)+(-72102*C237)+(3084.08*D237)+(2989.33*E237)+(-2890.2*F237)+(12984.1*G237)+(10433.9*H237)</f>
        <v>677221.48782540008</v>
      </c>
      <c r="K237">
        <f>I237-J237</f>
        <v>-6592.0078254000982</v>
      </c>
    </row>
    <row r="238" spans="1:11">
      <c r="A238">
        <v>46495.4</v>
      </c>
      <c r="B238">
        <v>9908</v>
      </c>
      <c r="C238">
        <v>0.121</v>
      </c>
      <c r="D238">
        <v>22</v>
      </c>
      <c r="E238">
        <v>89.4</v>
      </c>
      <c r="F238">
        <v>3.22</v>
      </c>
      <c r="G238">
        <v>0</v>
      </c>
      <c r="H238">
        <v>3.7</v>
      </c>
      <c r="I238">
        <v>721079.35</v>
      </c>
      <c r="J238">
        <f>95006.4+(1.18561*A238)+(27.858*B238)+(-72102*C238)+(3084.08*D238)+(2989.33*E238)+(-2890.2*F238)+(12984.1*G238)+(10433.9*H238)</f>
        <v>781819.38119400013</v>
      </c>
      <c r="K238">
        <f>I238-J238</f>
        <v>-60740.031194000156</v>
      </c>
    </row>
    <row r="239" spans="1:11">
      <c r="A239">
        <v>72961.95</v>
      </c>
      <c r="B239">
        <v>9996</v>
      </c>
      <c r="C239">
        <v>0.106</v>
      </c>
      <c r="D239">
        <v>22</v>
      </c>
      <c r="E239">
        <v>89.1</v>
      </c>
      <c r="F239">
        <v>15.66</v>
      </c>
      <c r="G239">
        <v>0</v>
      </c>
      <c r="H239">
        <v>3.4</v>
      </c>
      <c r="I239">
        <v>810355.02</v>
      </c>
      <c r="J239">
        <f>95006.4+(1.18561*A239)+(27.858*B239)+(-72102*C239)+(3084.08*D239)+(2989.33*E239)+(-2890.2*F239)+(12984.1*G239)+(10433.9*H239)</f>
        <v>776750.36453949998</v>
      </c>
      <c r="K239">
        <f>I239-J239</f>
        <v>33604.655460500042</v>
      </c>
    </row>
    <row r="240" spans="1:11">
      <c r="A240">
        <v>59060.05</v>
      </c>
      <c r="B240">
        <v>9702</v>
      </c>
      <c r="C240">
        <v>0.20100000000000001</v>
      </c>
      <c r="D240">
        <v>23</v>
      </c>
      <c r="E240">
        <v>80.900000000000006</v>
      </c>
      <c r="F240">
        <v>6.96</v>
      </c>
      <c r="G240">
        <v>0</v>
      </c>
      <c r="H240">
        <v>3.2</v>
      </c>
      <c r="I240">
        <v>761919.25</v>
      </c>
      <c r="J240">
        <f>95006.4+(1.18561*A240)+(27.858*B240)+(-72102*C240)+(3084.08*D240)+(2989.33*E240)+(-2890.2*F240)+(12984.1*G240)+(10433.9*H240)</f>
        <v>746857.7248805</v>
      </c>
      <c r="K240">
        <f>I240-J240</f>
        <v>15061.525119500002</v>
      </c>
    </row>
    <row r="241" spans="1:11">
      <c r="A241">
        <v>26248.1</v>
      </c>
      <c r="B241">
        <v>9314</v>
      </c>
      <c r="C241">
        <v>0.186</v>
      </c>
      <c r="D241">
        <v>21</v>
      </c>
      <c r="E241">
        <v>83.7</v>
      </c>
      <c r="F241">
        <v>4.62</v>
      </c>
      <c r="G241">
        <v>0</v>
      </c>
      <c r="H241">
        <v>3.3</v>
      </c>
      <c r="I241">
        <v>737070.18</v>
      </c>
      <c r="J241">
        <f>95006.4+(1.18561*A241)+(27.858*B241)+(-72102*C241)+(3084.08*D241)+(2989.33*E241)+(-2890.2*F241)+(12984.1*G241)+(10433.9*H241)</f>
        <v>708236.5968409999</v>
      </c>
      <c r="K241">
        <f>I241-J241</f>
        <v>28833.583159000147</v>
      </c>
    </row>
    <row r="242" spans="1:11">
      <c r="A242">
        <v>69900.12</v>
      </c>
      <c r="B242">
        <v>8055</v>
      </c>
      <c r="C242">
        <v>0.28100000000000003</v>
      </c>
      <c r="D242">
        <v>22</v>
      </c>
      <c r="E242">
        <v>85.6</v>
      </c>
      <c r="F242">
        <v>10.68</v>
      </c>
      <c r="G242">
        <v>1</v>
      </c>
      <c r="H242">
        <v>2.9</v>
      </c>
      <c r="I242">
        <v>776992.93</v>
      </c>
      <c r="J242">
        <f>95006.4+(1.18561*A242)+(27.858*B242)+(-72102*C242)+(3084.08*D242)+(2989.33*E242)+(-2890.2*F242)+(12984.1*G242)+(10433.9*H242)</f>
        <v>718127.69127320009</v>
      </c>
      <c r="K242">
        <f>I242-J242</f>
        <v>58865.238726799958</v>
      </c>
    </row>
    <row r="243" spans="1:11">
      <c r="A243">
        <v>51781.599999999999</v>
      </c>
      <c r="B243">
        <v>5648</v>
      </c>
      <c r="C243">
        <v>5.8999999999999997E-2</v>
      </c>
      <c r="D243">
        <v>13</v>
      </c>
      <c r="E243">
        <v>85.5</v>
      </c>
      <c r="F243">
        <v>4.04</v>
      </c>
      <c r="G243">
        <v>0</v>
      </c>
      <c r="H243">
        <v>3.7</v>
      </c>
      <c r="I243">
        <v>676337.41</v>
      </c>
      <c r="J243">
        <f>95006.4+(1.18561*A243)+(27.858*B243)+(-72102*C243)+(3084.08*D243)+(2989.33*E243)+(-2890.2*F243)+(12984.1*G243)+(10433.9*H243)</f>
        <v>632096.92577600002</v>
      </c>
      <c r="K243">
        <f>I243-J243</f>
        <v>44240.484224000014</v>
      </c>
    </row>
    <row r="244" spans="1:11">
      <c r="A244">
        <v>70799.64</v>
      </c>
      <c r="B244">
        <v>10076</v>
      </c>
      <c r="C244">
        <v>0.152</v>
      </c>
      <c r="D244">
        <v>24</v>
      </c>
      <c r="E244">
        <v>84.8</v>
      </c>
      <c r="F244">
        <v>1.87</v>
      </c>
      <c r="G244">
        <v>0</v>
      </c>
      <c r="H244">
        <v>3.5</v>
      </c>
      <c r="I244">
        <v>828219.67</v>
      </c>
      <c r="J244">
        <f>95006.4+(1.18561*A244)+(27.858*B244)+(-72102*C244)+(3084.08*D244)+(2989.33*E244)+(-2890.2*F244)+(12984.1*G244)+(10433.9*H244)</f>
        <v>807311.94518039993</v>
      </c>
      <c r="K244">
        <f>I244-J244</f>
        <v>20907.724819600116</v>
      </c>
    </row>
    <row r="245" spans="1:11">
      <c r="A245">
        <v>53546.34</v>
      </c>
      <c r="B245">
        <v>8004</v>
      </c>
      <c r="C245">
        <v>0</v>
      </c>
      <c r="D245">
        <v>21</v>
      </c>
      <c r="E245">
        <v>95.2</v>
      </c>
      <c r="F245">
        <v>2.83</v>
      </c>
      <c r="G245">
        <v>0</v>
      </c>
      <c r="H245">
        <v>3</v>
      </c>
      <c r="I245">
        <v>763159.92</v>
      </c>
      <c r="J245">
        <f>95006.4+(1.18561*A245)+(27.858*B245)+(-72102*C245)+(3084.08*D245)+(2989.33*E245)+(-2890.2*F245)+(12984.1*G245)+(10433.9*H245)</f>
        <v>753939.23816740001</v>
      </c>
      <c r="K245">
        <f>I245-J245</f>
        <v>9220.6818326000357</v>
      </c>
    </row>
    <row r="246" spans="1:11">
      <c r="A246">
        <v>76942.2</v>
      </c>
      <c r="B246">
        <v>8934</v>
      </c>
      <c r="C246">
        <v>8.4000000000000005E-2</v>
      </c>
      <c r="D246">
        <v>20</v>
      </c>
      <c r="E246">
        <v>91</v>
      </c>
      <c r="F246">
        <v>0.95</v>
      </c>
      <c r="G246">
        <v>0</v>
      </c>
      <c r="H246">
        <v>3.2</v>
      </c>
      <c r="I246">
        <v>802001.68</v>
      </c>
      <c r="J246">
        <f>95006.4+(1.18561*A246)+(27.858*B246)+(-72102*C246)+(3084.08*D246)+(2989.33*E246)+(-2890.2*F246)+(12984.1*G246)+(10433.9*H246)</f>
        <v>793410.06574200001</v>
      </c>
      <c r="K246">
        <f>I246-J246</f>
        <v>8591.6142580000451</v>
      </c>
    </row>
    <row r="247" spans="1:11">
      <c r="A247">
        <v>48060.78</v>
      </c>
      <c r="B247">
        <v>8733</v>
      </c>
      <c r="C247">
        <v>0</v>
      </c>
      <c r="D247">
        <v>20</v>
      </c>
      <c r="E247">
        <v>89.9</v>
      </c>
      <c r="F247">
        <v>0.8</v>
      </c>
      <c r="G247">
        <v>0</v>
      </c>
      <c r="H247">
        <v>3.4</v>
      </c>
      <c r="I247">
        <v>750471.34</v>
      </c>
      <c r="J247">
        <f>95006.4+(1.18561*A247)+(27.858*B247)+(-72102*C247)+(3084.08*D247)+(2989.33*E247)+(-2890.2*F247)+(12984.1*G247)+(10433.9*H247)</f>
        <v>758857.12237579993</v>
      </c>
      <c r="K247">
        <f>I247-J247</f>
        <v>-8385.7823757999577</v>
      </c>
    </row>
    <row r="248" spans="1:11">
      <c r="A248">
        <v>57390.04</v>
      </c>
      <c r="B248">
        <v>7374</v>
      </c>
      <c r="C248">
        <v>0.21</v>
      </c>
      <c r="D248">
        <v>21</v>
      </c>
      <c r="E248">
        <v>91.8</v>
      </c>
      <c r="F248">
        <v>0.2</v>
      </c>
      <c r="G248">
        <v>0</v>
      </c>
      <c r="H248">
        <v>3.1</v>
      </c>
      <c r="I248">
        <v>679230.86</v>
      </c>
      <c r="J248">
        <f>95006.4+(1.18561*A248)+(27.858*B248)+(-72102*C248)+(3084.08*D248)+(2989.33*E248)+(-2890.2*F248)+(12984.1*G248)+(10433.9*H248)</f>
        <v>724285.3013244</v>
      </c>
      <c r="K248">
        <f>I248-J248</f>
        <v>-45054.441324400017</v>
      </c>
    </row>
    <row r="249" spans="1:11">
      <c r="A249">
        <v>21536.18</v>
      </c>
      <c r="B249">
        <v>8119</v>
      </c>
      <c r="C249">
        <v>0.22700000000000001</v>
      </c>
      <c r="D249">
        <v>20</v>
      </c>
      <c r="E249">
        <v>90.4</v>
      </c>
      <c r="F249">
        <v>1.7</v>
      </c>
      <c r="G249">
        <v>0</v>
      </c>
      <c r="H249">
        <v>3.3</v>
      </c>
      <c r="I249">
        <v>679888.74</v>
      </c>
      <c r="J249">
        <f>95006.4+(1.18561*A249)+(27.858*B249)+(-72102*C249)+(3084.08*D249)+(2989.33*E249)+(-2890.2*F249)+(12984.1*G249)+(10433.9*H249)</f>
        <v>691787.42036980006</v>
      </c>
      <c r="K249">
        <f>I249-J249</f>
        <v>-11898.680369800073</v>
      </c>
    </row>
    <row r="250" spans="1:11">
      <c r="A250">
        <v>40923.67</v>
      </c>
      <c r="B250">
        <v>3875</v>
      </c>
      <c r="C250">
        <v>0.15</v>
      </c>
      <c r="D250">
        <v>10</v>
      </c>
      <c r="E250">
        <v>96.1</v>
      </c>
      <c r="F250">
        <f>K88</f>
        <v>27045.946184899891</v>
      </c>
      <c r="G250">
        <v>0</v>
      </c>
      <c r="H250">
        <v>3.8</v>
      </c>
      <c r="I250">
        <v>606783.67000000004</v>
      </c>
      <c r="J250">
        <f>95006.4+(1.18561*A250)+(27.858*B250)+(-72102*C250)+(3084.08*D250)+(2989.33*E250)+(-2890.2*F250)+(12984.1*G250)+(10433.9*H250)</f>
        <v>-77569769.068208963</v>
      </c>
      <c r="K250">
        <f>I250-J250</f>
        <v>78176552.738208964</v>
      </c>
    </row>
    <row r="251" spans="1:11">
      <c r="A251">
        <v>72932.55</v>
      </c>
      <c r="B251">
        <v>5765</v>
      </c>
      <c r="C251">
        <v>2.5999999999999999E-2</v>
      </c>
      <c r="D251">
        <v>17</v>
      </c>
      <c r="E251">
        <v>81.8</v>
      </c>
      <c r="F251">
        <v>5.0999999999999996</v>
      </c>
      <c r="G251">
        <v>0</v>
      </c>
      <c r="H251">
        <v>3.6</v>
      </c>
      <c r="I251">
        <v>642751.42000000004</v>
      </c>
      <c r="J251">
        <f>95006.4+(1.18561*A251)+(27.858*B251)+(-72102*C251)+(3084.08*D251)+(2989.33*E251)+(-2890.2*F251)+(12984.1*G251)+(10433.9*H251)</f>
        <v>659981.25260550005</v>
      </c>
      <c r="K251">
        <f>I251-J251</f>
        <v>-17229.832605500007</v>
      </c>
    </row>
    <row r="252" spans="1:11">
      <c r="A252">
        <v>38361.93</v>
      </c>
      <c r="B252">
        <v>6322</v>
      </c>
      <c r="C252">
        <v>0.27300000000000002</v>
      </c>
      <c r="D252">
        <v>15</v>
      </c>
      <c r="E252">
        <v>88.4</v>
      </c>
      <c r="F252">
        <v>0.83</v>
      </c>
      <c r="G252">
        <v>0</v>
      </c>
      <c r="H252">
        <v>4</v>
      </c>
      <c r="I252">
        <v>647953.78</v>
      </c>
      <c r="J252">
        <f>95006.4+(1.18561*A252)+(27.858*B252)+(-72102*C252)+(3084.08*D252)+(2989.33*E252)+(-2890.2*F252)+(12984.1*G252)+(10433.9*H252)</f>
        <v>646777.82382729999</v>
      </c>
      <c r="K252">
        <f>I252-J252</f>
        <v>1175.95617270004</v>
      </c>
    </row>
    <row r="253" spans="1:11">
      <c r="A253">
        <v>97480.94</v>
      </c>
      <c r="B253">
        <v>6840</v>
      </c>
      <c r="C253">
        <v>8.6999999999999994E-2</v>
      </c>
      <c r="D253">
        <v>14</v>
      </c>
      <c r="E253">
        <v>79.2</v>
      </c>
      <c r="F253">
        <v>1.1399999999999999</v>
      </c>
      <c r="G253">
        <v>0</v>
      </c>
      <c r="H253">
        <v>4</v>
      </c>
      <c r="I253">
        <v>729440.45</v>
      </c>
      <c r="J253">
        <f>95006.4+(1.18561*A253)+(27.858*B253)+(-72102*C253)+(3084.08*D253)+(2989.33*E253)+(-2890.2*F253)+(12984.1*G253)+(10433.9*H253)</f>
        <v>713229.45127339999</v>
      </c>
      <c r="K253">
        <f>I253-J253</f>
        <v>16210.998726599966</v>
      </c>
    </row>
    <row r="254" spans="1:11">
      <c r="A254">
        <v>81801.8</v>
      </c>
      <c r="B254">
        <v>6782</v>
      </c>
      <c r="C254">
        <v>0.05</v>
      </c>
      <c r="D254">
        <v>16</v>
      </c>
      <c r="E254">
        <v>99</v>
      </c>
      <c r="F254">
        <v>9.5399999999999991</v>
      </c>
      <c r="G254">
        <v>0</v>
      </c>
      <c r="H254">
        <v>3.7</v>
      </c>
      <c r="I254">
        <v>764949</v>
      </c>
      <c r="J254">
        <f>95006.4+(1.18561*A254)+(27.858*B254)+(-72102*C254)+(3084.08*D254)+(2989.33*E254)+(-2890.2*F254)+(12984.1*G254)+(10433.9*H254)</f>
        <v>733641.16009799996</v>
      </c>
      <c r="K254">
        <f>I254-J254</f>
        <v>31307.839902000036</v>
      </c>
    </row>
    <row r="255" spans="1:11">
      <c r="A255">
        <v>63582.11</v>
      </c>
      <c r="B255">
        <v>6856</v>
      </c>
      <c r="C255">
        <v>7.3999999999999996E-2</v>
      </c>
      <c r="D255">
        <v>17</v>
      </c>
      <c r="E255">
        <v>89.5</v>
      </c>
      <c r="F255">
        <v>5.48</v>
      </c>
      <c r="G255">
        <v>0</v>
      </c>
      <c r="H255">
        <v>3.2</v>
      </c>
      <c r="I255">
        <v>799046.94</v>
      </c>
      <c r="J255">
        <f>95006.4+(1.18561*A255)+(27.858*B255)+(-72102*C255)+(3084.08*D255)+(2989.33*E255)+(-2890.2*F255)+(12984.1*G255)+(10433.9*H255)</f>
        <v>693573.46443709999</v>
      </c>
      <c r="K255">
        <f>I255-J255</f>
        <v>105473.47556289996</v>
      </c>
    </row>
    <row r="256" spans="1:11">
      <c r="A256">
        <v>75412.740000000005</v>
      </c>
      <c r="B256">
        <v>5641</v>
      </c>
      <c r="C256">
        <v>5.8999999999999997E-2</v>
      </c>
      <c r="D256">
        <v>13</v>
      </c>
      <c r="E256">
        <v>87.9</v>
      </c>
      <c r="F256">
        <v>0.84</v>
      </c>
      <c r="G256">
        <v>0</v>
      </c>
      <c r="H256">
        <v>3.6</v>
      </c>
      <c r="I256">
        <v>720079.54</v>
      </c>
      <c r="J256">
        <f>95006.4+(1.18561*A256)+(27.858*B256)+(-72102*C256)+(3084.08*D256)+(2989.33*E256)+(-2890.2*F256)+(12984.1*G256)+(10433.9*H256)</f>
        <v>675298.87767139997</v>
      </c>
      <c r="K256">
        <f>I256-J256</f>
        <v>44780.662328600069</v>
      </c>
    </row>
    <row r="257" spans="1:11">
      <c r="A257">
        <v>36290.080000000002</v>
      </c>
      <c r="B257">
        <v>5787</v>
      </c>
      <c r="C257">
        <v>0</v>
      </c>
      <c r="D257">
        <v>17</v>
      </c>
      <c r="E257">
        <v>88.3</v>
      </c>
      <c r="F257">
        <v>4.1900000000000004</v>
      </c>
      <c r="G257">
        <v>0</v>
      </c>
      <c r="H257">
        <v>4.0999999999999996</v>
      </c>
      <c r="I257">
        <v>612390.14</v>
      </c>
      <c r="J257">
        <f>95006.4+(1.18561*A257)+(27.858*B257)+(-72102*C257)+(3084.08*D257)+(2989.33*E257)+(-2890.2*F257)+(12984.1*G257)+(10433.9*H257)</f>
        <v>646302.77874879993</v>
      </c>
      <c r="K257">
        <f>I257-J257</f>
        <v>-33912.638748799916</v>
      </c>
    </row>
    <row r="258" spans="1:11">
      <c r="A258">
        <v>65272.58</v>
      </c>
      <c r="B258">
        <v>8165</v>
      </c>
      <c r="C258">
        <v>5.0999999999999997E-2</v>
      </c>
      <c r="D258">
        <v>19</v>
      </c>
      <c r="E258">
        <v>87.8</v>
      </c>
      <c r="F258">
        <v>1.26</v>
      </c>
      <c r="G258">
        <v>1</v>
      </c>
      <c r="H258">
        <v>4.3</v>
      </c>
      <c r="I258">
        <v>840108.12</v>
      </c>
      <c r="J258">
        <f>95006.4+(1.18561*A258)+(27.858*B258)+(-72102*C258)+(3084.08*D258)+(2989.33*E258)+(-2890.2*F258)+(12984.1*G258)+(10433.9*H258)</f>
        <v>771446.50357380009</v>
      </c>
      <c r="K258">
        <f>I258-J258</f>
        <v>68661.616426199907</v>
      </c>
    </row>
    <row r="259" spans="1:11">
      <c r="A259">
        <v>28670.43</v>
      </c>
      <c r="B259">
        <v>7574</v>
      </c>
      <c r="C259">
        <v>0.114</v>
      </c>
      <c r="D259">
        <v>19</v>
      </c>
      <c r="E259">
        <v>82.7</v>
      </c>
      <c r="F259">
        <v>2.74</v>
      </c>
      <c r="G259">
        <v>0</v>
      </c>
      <c r="H259">
        <v>4.5999999999999996</v>
      </c>
      <c r="I259">
        <v>697888.09</v>
      </c>
      <c r="J259">
        <f>95006.4+(1.18561*A259)+(27.858*B259)+(-72102*C259)+(3084.08*D259)+(2989.33*E259)+(-2890.2*F259)+(12984.1*G259)+(10433.9*H259)</f>
        <v>677667.11551229993</v>
      </c>
      <c r="K259">
        <f>I259-J259</f>
        <v>20220.974487700034</v>
      </c>
    </row>
    <row r="260" spans="1:11">
      <c r="A260">
        <v>44189.34</v>
      </c>
      <c r="B260">
        <v>8634</v>
      </c>
      <c r="C260">
        <v>0.14299999999999999</v>
      </c>
      <c r="D260">
        <v>19</v>
      </c>
      <c r="E260">
        <v>87.5</v>
      </c>
      <c r="F260">
        <v>3.69</v>
      </c>
      <c r="G260">
        <v>0</v>
      </c>
      <c r="H260">
        <v>4.4000000000000004</v>
      </c>
      <c r="I260">
        <v>746115.59</v>
      </c>
      <c r="J260">
        <f>95006.4+(1.18561*A260)+(27.858*B260)+(-72102*C260)+(3084.08*D260)+(2989.33*E260)+(-2890.2*F260)+(12984.1*G260)+(10433.9*H260)</f>
        <v>733021.3263974</v>
      </c>
      <c r="K260">
        <f>I260-J260</f>
        <v>13094.263602599967</v>
      </c>
    </row>
    <row r="261" spans="1:11">
      <c r="A261">
        <v>38397.82</v>
      </c>
      <c r="B261">
        <v>7836</v>
      </c>
      <c r="C261">
        <v>7.0000000000000001E-3</v>
      </c>
      <c r="D261">
        <v>21</v>
      </c>
      <c r="E261">
        <v>92.2</v>
      </c>
      <c r="F261">
        <v>1.82</v>
      </c>
      <c r="G261">
        <v>0</v>
      </c>
      <c r="H261">
        <v>3.6</v>
      </c>
      <c r="I261">
        <v>776110.32</v>
      </c>
      <c r="J261">
        <f>95006.4+(1.18561*A261)+(27.858*B261)+(-72102*C261)+(3084.08*D261)+(2989.33*E261)+(-2890.2*F261)+(12984.1*G261)+(10433.9*H261)</f>
        <v>731005.59537020011</v>
      </c>
      <c r="K261">
        <f>I261-J261</f>
        <v>45104.724629799835</v>
      </c>
    </row>
    <row r="262" spans="1:11">
      <c r="A262">
        <v>14519.37</v>
      </c>
      <c r="B262">
        <v>3047</v>
      </c>
      <c r="C262">
        <v>0.13500000000000001</v>
      </c>
      <c r="D262">
        <v>10</v>
      </c>
      <c r="E262">
        <v>90.3</v>
      </c>
      <c r="F262">
        <v>6.62</v>
      </c>
      <c r="G262">
        <v>0</v>
      </c>
      <c r="H262">
        <v>4.2</v>
      </c>
      <c r="I262">
        <v>528852.62</v>
      </c>
      <c r="J262">
        <f>95006.4+(1.18561*A262)+(27.858*B262)+(-72102*C262)+(3084.08*D262)+(2989.33*E262)+(-2890.2*F262)+(12984.1*G262)+(10433.9*H262)</f>
        <v>512836.82126569998</v>
      </c>
      <c r="K262">
        <f>I262-J262</f>
        <v>16015.798734300013</v>
      </c>
    </row>
    <row r="263" spans="1:11">
      <c r="A263">
        <v>43288.2</v>
      </c>
      <c r="B263">
        <v>4783</v>
      </c>
      <c r="C263">
        <v>0.16900000000000001</v>
      </c>
      <c r="D263">
        <v>13</v>
      </c>
      <c r="E263">
        <v>87.3</v>
      </c>
      <c r="F263">
        <f>K101</f>
        <v>37292.514829000109</v>
      </c>
      <c r="G263">
        <v>0</v>
      </c>
      <c r="H263">
        <v>4.2</v>
      </c>
      <c r="I263">
        <v>605751.32999999996</v>
      </c>
      <c r="J263">
        <f>95006.4+(1.18561*A263)+(27.858*B263)+(-72102*C263)+(3084.08*D263)+(2989.33*E263)+(-2890.2*F263)+(12984.1*G263)+(10433.9*H263)</f>
        <v>-107170553.53097411</v>
      </c>
      <c r="K263">
        <f>I263-J263</f>
        <v>107776304.8609741</v>
      </c>
    </row>
    <row r="264" spans="1:11">
      <c r="A264">
        <v>51450.55</v>
      </c>
      <c r="B264">
        <v>4902</v>
      </c>
      <c r="C264">
        <v>8.5999999999999993E-2</v>
      </c>
      <c r="D264">
        <v>11</v>
      </c>
      <c r="E264">
        <v>83.7</v>
      </c>
      <c r="F264">
        <v>6.92</v>
      </c>
      <c r="G264">
        <v>1</v>
      </c>
      <c r="H264">
        <v>4.2</v>
      </c>
      <c r="I264">
        <v>677640.65</v>
      </c>
      <c r="J264">
        <f>95006.4+(1.18561*A264)+(27.858*B264)+(-72102*C264)+(3084.08*D264)+(2989.33*E264)+(-2890.2*F264)+(12984.1*G264)+(10433.9*H264)</f>
        <v>607303.92758549994</v>
      </c>
      <c r="K264">
        <f>I264-J264</f>
        <v>70336.72241450008</v>
      </c>
    </row>
    <row r="265" spans="1:11">
      <c r="A265">
        <v>58688.26</v>
      </c>
      <c r="B265">
        <v>4022</v>
      </c>
      <c r="C265">
        <v>0.217</v>
      </c>
      <c r="D265">
        <v>12</v>
      </c>
      <c r="E265">
        <v>93.8</v>
      </c>
      <c r="F265">
        <v>11.78</v>
      </c>
      <c r="G265">
        <v>0</v>
      </c>
      <c r="H265">
        <v>3.7</v>
      </c>
      <c r="I265">
        <v>636613.23</v>
      </c>
      <c r="J265">
        <f>95006.4+(1.18561*A265)+(27.858*B265)+(-72102*C265)+(3084.08*D265)+(2989.33*E265)+(-2890.2*F265)+(12984.1*G265)+(10433.9*H265)</f>
        <v>582953.51793860004</v>
      </c>
      <c r="K265">
        <f>I265-J265</f>
        <v>53659.712061399943</v>
      </c>
    </row>
    <row r="266" spans="1:11">
      <c r="A266">
        <v>58981.91</v>
      </c>
      <c r="B266">
        <v>7324</v>
      </c>
      <c r="C266">
        <v>9.4E-2</v>
      </c>
      <c r="D266">
        <v>15</v>
      </c>
      <c r="E266">
        <v>95.8</v>
      </c>
      <c r="F266">
        <v>0.5</v>
      </c>
      <c r="G266">
        <v>0</v>
      </c>
      <c r="H266">
        <v>3.5</v>
      </c>
      <c r="I266">
        <v>708985.19</v>
      </c>
      <c r="J266">
        <f>95006.4+(1.18561*A266)+(27.858*B266)+(-72102*C266)+(3084.08*D266)+(2989.33*E266)+(-2890.2*F266)+(12984.1*G266)+(10433.9*H266)</f>
        <v>729902.9103151001</v>
      </c>
      <c r="K266">
        <f>I266-J266</f>
        <v>-20917.720315100159</v>
      </c>
    </row>
    <row r="267" spans="1:11">
      <c r="A267">
        <v>73454.539999999994</v>
      </c>
      <c r="B267">
        <v>8129</v>
      </c>
      <c r="C267">
        <v>0.21099999999999999</v>
      </c>
      <c r="D267">
        <v>20</v>
      </c>
      <c r="E267">
        <v>85.2</v>
      </c>
      <c r="F267">
        <v>0.88</v>
      </c>
      <c r="G267">
        <v>0</v>
      </c>
      <c r="H267">
        <v>3.7</v>
      </c>
      <c r="I267">
        <v>767792.94</v>
      </c>
      <c r="J267">
        <f>95006.4+(1.18561*A267)+(27.858*B267)+(-72102*C267)+(3084.08*D267)+(2989.33*E267)+(-2890.2*F267)+(12984.1*G267)+(10433.9*H267)</f>
        <v>745773.56716939993</v>
      </c>
      <c r="K267">
        <f>I267-J267</f>
        <v>22019.372830600012</v>
      </c>
    </row>
    <row r="268" spans="1:11">
      <c r="A268">
        <v>56602.39</v>
      </c>
      <c r="B268">
        <v>7969</v>
      </c>
      <c r="C268">
        <v>0.17</v>
      </c>
      <c r="D268">
        <v>21</v>
      </c>
      <c r="E268">
        <v>88.3</v>
      </c>
      <c r="F268">
        <v>2.25</v>
      </c>
      <c r="G268">
        <v>0</v>
      </c>
      <c r="H268">
        <v>3.7</v>
      </c>
      <c r="I268">
        <v>745580.51</v>
      </c>
      <c r="J268">
        <f>95006.4+(1.18561*A268)+(27.858*B268)+(-72102*C268)+(3084.08*D268)+(2989.33*E268)+(-2890.2*F268)+(12984.1*G268)+(10433.9*H268)</f>
        <v>732683.82060790004</v>
      </c>
      <c r="K268">
        <f>I268-J268</f>
        <v>12896.689392099972</v>
      </c>
    </row>
    <row r="269" spans="1:11">
      <c r="A269">
        <v>67722.289999999994</v>
      </c>
      <c r="B269">
        <v>7240</v>
      </c>
      <c r="C269">
        <v>2.5999999999999999E-2</v>
      </c>
      <c r="D269">
        <v>15</v>
      </c>
      <c r="E269">
        <v>92.9</v>
      </c>
      <c r="F269">
        <v>0.28999999999999998</v>
      </c>
      <c r="G269">
        <v>0</v>
      </c>
      <c r="H269">
        <v>3.5</v>
      </c>
      <c r="I269">
        <v>762328.31</v>
      </c>
      <c r="J269">
        <f>95006.4+(1.18561*A269)+(27.858*B269)+(-72102*C269)+(3084.08*D269)+(2989.33*E269)+(-2890.2*F269)+(12984.1*G269)+(10433.9*H269)</f>
        <v>734766.34124690003</v>
      </c>
      <c r="K269">
        <f>I269-J269</f>
        <v>27561.968753100024</v>
      </c>
    </row>
    <row r="270" spans="1:11">
      <c r="A270">
        <v>48752.92</v>
      </c>
      <c r="B270">
        <v>8052</v>
      </c>
      <c r="C270">
        <v>0.106</v>
      </c>
      <c r="D270">
        <v>16</v>
      </c>
      <c r="E270">
        <v>94.9</v>
      </c>
      <c r="F270">
        <v>0.65</v>
      </c>
      <c r="G270">
        <v>0</v>
      </c>
      <c r="H270">
        <v>3.6</v>
      </c>
      <c r="I270">
        <v>660633.99</v>
      </c>
      <c r="J270">
        <f>95006.4+(1.18561*A270)+(27.858*B270)+(-72102*C270)+(3084.08*D270)+(2989.33*E270)+(-2890.2*F270)+(12984.1*G270)+(10433.9*H270)</f>
        <v>738194.26048120006</v>
      </c>
      <c r="K270">
        <f>I270-J270</f>
        <v>-77560.270481200074</v>
      </c>
    </row>
    <row r="271" spans="1:11">
      <c r="A271">
        <v>23914.97</v>
      </c>
      <c r="B271">
        <v>8018</v>
      </c>
      <c r="C271">
        <v>0.13900000000000001</v>
      </c>
      <c r="D271">
        <v>20</v>
      </c>
      <c r="E271">
        <v>89</v>
      </c>
      <c r="F271">
        <v>0.2</v>
      </c>
      <c r="G271">
        <v>0</v>
      </c>
      <c r="H271">
        <v>3.5</v>
      </c>
      <c r="I271">
        <v>739374.56</v>
      </c>
      <c r="J271">
        <f>95006.4+(1.18561*A271)+(27.858*B271)+(-72102*C271)+(3084.08*D271)+(2989.33*E271)+(-2890.2*F271)+(12984.1*G271)+(10433.9*H271)</f>
        <v>700376.07358169986</v>
      </c>
      <c r="K271">
        <f>I271-J271</f>
        <v>38998.486418300192</v>
      </c>
    </row>
    <row r="272" spans="1:11">
      <c r="A272">
        <v>61995.3</v>
      </c>
      <c r="B272">
        <v>10192</v>
      </c>
      <c r="C272">
        <v>0.19800000000000001</v>
      </c>
      <c r="D272">
        <v>21</v>
      </c>
      <c r="E272">
        <v>87.6</v>
      </c>
      <c r="F272">
        <v>3.63</v>
      </c>
      <c r="G272">
        <v>1</v>
      </c>
      <c r="H272">
        <v>3.8</v>
      </c>
      <c r="I272">
        <v>799756.46</v>
      </c>
      <c r="J272">
        <f>95006.4+(1.18561*A272)+(27.858*B272)+(-72102*C272)+(3084.08*D272)+(2989.33*E272)+(-2890.2*F272)+(12984.1*G272)+(10433.9*H272)</f>
        <v>806933.66963299992</v>
      </c>
      <c r="K272">
        <f>I272-J272</f>
        <v>-7177.2096329999622</v>
      </c>
    </row>
    <row r="273" spans="1:11">
      <c r="A273">
        <v>29344.93</v>
      </c>
      <c r="B273">
        <v>7446</v>
      </c>
      <c r="C273">
        <v>0.111</v>
      </c>
      <c r="D273">
        <v>15</v>
      </c>
      <c r="E273">
        <v>86.2</v>
      </c>
      <c r="F273">
        <v>0.2</v>
      </c>
      <c r="G273">
        <v>0</v>
      </c>
      <c r="H273">
        <v>3.2</v>
      </c>
      <c r="I273">
        <v>593343</v>
      </c>
      <c r="J273">
        <f>95006.4+(1.18561*A273)+(27.858*B273)+(-72102*C273)+(3084.08*D273)+(2989.33*E273)+(-2890.2*F273)+(12984.1*G273)+(10433.9*H273)</f>
        <v>665977.27445729997</v>
      </c>
      <c r="K273">
        <f>I273-J273</f>
        <v>-72634.274457299965</v>
      </c>
    </row>
    <row r="274" spans="1:11">
      <c r="A274">
        <v>50532.17</v>
      </c>
      <c r="B274">
        <v>5689</v>
      </c>
      <c r="C274">
        <v>5.1999999999999998E-2</v>
      </c>
      <c r="D274">
        <v>17</v>
      </c>
      <c r="E274">
        <v>85.6</v>
      </c>
      <c r="F274">
        <v>6.23</v>
      </c>
      <c r="G274">
        <v>0</v>
      </c>
      <c r="H274">
        <v>3.3</v>
      </c>
      <c r="I274">
        <v>645039.97</v>
      </c>
      <c r="J274">
        <f>95006.4+(1.18561*A274)+(27.858*B274)+(-72102*C274)+(3084.08*D274)+(2989.33*E274)+(-2890.2*F274)+(12984.1*G274)+(10433.9*H274)</f>
        <v>634394.63607370004</v>
      </c>
      <c r="K274">
        <f>I274-J274</f>
        <v>10645.333926299936</v>
      </c>
    </row>
    <row r="275" spans="1:11">
      <c r="A275">
        <v>17562.57</v>
      </c>
      <c r="B275">
        <v>3326</v>
      </c>
      <c r="C275">
        <v>0.153</v>
      </c>
      <c r="D275">
        <v>14</v>
      </c>
      <c r="E275">
        <v>88.1</v>
      </c>
      <c r="F275">
        <v>1.04</v>
      </c>
      <c r="G275">
        <v>0</v>
      </c>
      <c r="H275">
        <v>3.1</v>
      </c>
      <c r="I275">
        <v>561597.32999999996</v>
      </c>
      <c r="J275">
        <f>95006.4+(1.18561*A275)+(27.858*B275)+(-72102*C275)+(3084.08*D275)+(2989.33*E275)+(-2890.2*F275)+(12984.1*G275)+(10433.9*H275)</f>
        <v>533329.23561770003</v>
      </c>
      <c r="K275">
        <f>I275-J275</f>
        <v>28268.094382299925</v>
      </c>
    </row>
    <row r="276" spans="1:11">
      <c r="A276">
        <v>47648.71</v>
      </c>
      <c r="B276">
        <v>5767</v>
      </c>
      <c r="C276">
        <v>0.14099999999999999</v>
      </c>
      <c r="D276">
        <v>17</v>
      </c>
      <c r="E276">
        <v>89.8</v>
      </c>
      <c r="F276">
        <v>1.76</v>
      </c>
      <c r="G276">
        <v>0</v>
      </c>
      <c r="H276">
        <v>3.1</v>
      </c>
      <c r="I276">
        <v>635837.74</v>
      </c>
      <c r="J276">
        <f>95006.4+(1.18561*A276)+(27.858*B276)+(-72102*C276)+(3084.08*D276)+(2989.33*E276)+(-2890.2*F276)+(12984.1*G276)+(10433.9*H276)</f>
        <v>650119.42306309997</v>
      </c>
      <c r="K276">
        <f>I276-J276</f>
        <v>-14281.683063099976</v>
      </c>
    </row>
    <row r="277" spans="1:11">
      <c r="A277">
        <v>38297.58</v>
      </c>
      <c r="B277">
        <v>5893</v>
      </c>
      <c r="C277">
        <v>0.247</v>
      </c>
      <c r="D277">
        <v>18</v>
      </c>
      <c r="E277">
        <v>77.599999999999994</v>
      </c>
      <c r="F277">
        <v>2.86</v>
      </c>
      <c r="G277">
        <v>0</v>
      </c>
      <c r="H277">
        <v>3</v>
      </c>
      <c r="I277">
        <v>686737.87</v>
      </c>
      <c r="J277">
        <f>95006.4+(1.18561*A277)+(27.858*B277)+(-72102*C277)+(3084.08*D277)+(2989.33*E277)+(-2890.2*F277)+(12984.1*G277)+(10433.9*H277)</f>
        <v>597291.5698238</v>
      </c>
      <c r="K277">
        <f>I277-J277</f>
        <v>89446.300176199991</v>
      </c>
    </row>
    <row r="278" spans="1:11">
      <c r="A278">
        <v>61784.11</v>
      </c>
      <c r="B278">
        <v>8564</v>
      </c>
      <c r="C278">
        <v>0.13</v>
      </c>
      <c r="D278">
        <v>17</v>
      </c>
      <c r="E278">
        <v>87.4</v>
      </c>
      <c r="F278">
        <v>18.14</v>
      </c>
      <c r="G278">
        <v>1</v>
      </c>
      <c r="H278">
        <v>3.4</v>
      </c>
      <c r="I278">
        <v>673076.34</v>
      </c>
      <c r="J278">
        <f>95006.4+(1.18561*A278)+(27.858*B278)+(-72102*C278)+(3084.08*D278)+(2989.33*E278)+(-2890.2*F278)+(12984.1*G278)+(10433.9*H278)</f>
        <v>707188.84465710004</v>
      </c>
      <c r="K278">
        <f>I278-J278</f>
        <v>-34112.504657100071</v>
      </c>
    </row>
    <row r="279" spans="1:11">
      <c r="A279">
        <v>36832.33</v>
      </c>
      <c r="B279">
        <v>8001</v>
      </c>
      <c r="C279">
        <v>0</v>
      </c>
      <c r="D279">
        <v>19</v>
      </c>
      <c r="E279">
        <v>88.7</v>
      </c>
      <c r="F279">
        <v>3.39</v>
      </c>
      <c r="G279">
        <v>0</v>
      </c>
      <c r="H279">
        <v>4</v>
      </c>
      <c r="I279">
        <v>738548.42</v>
      </c>
      <c r="J279">
        <f>95006.4+(1.18561*A279)+(27.858*B279)+(-72102*C279)+(3084.08*D279)+(2989.33*E279)+(-2890.2*F279)+(12984.1*G279)+(10433.9*H279)</f>
        <v>717255.94977129996</v>
      </c>
      <c r="K279">
        <f>I279-J279</f>
        <v>21292.470228700084</v>
      </c>
    </row>
    <row r="280" spans="1:11">
      <c r="A280">
        <v>48609.41</v>
      </c>
      <c r="B280">
        <v>9324</v>
      </c>
      <c r="C280">
        <v>0.21299999999999999</v>
      </c>
      <c r="D280">
        <v>18</v>
      </c>
      <c r="E280">
        <v>86.5</v>
      </c>
      <c r="F280">
        <v>1.44</v>
      </c>
      <c r="G280">
        <v>0</v>
      </c>
      <c r="H280">
        <v>3.9</v>
      </c>
      <c r="I280">
        <v>756619.77</v>
      </c>
      <c r="J280">
        <f>95006.4+(1.18561*A280)+(27.858*B280)+(-72102*C280)+(3084.08*D280)+(2989.33*E280)+(-2890.2*F280)+(12984.1*G280)+(10433.9*H280)</f>
        <v>747649.27559009986</v>
      </c>
      <c r="K280">
        <f>I280-J280</f>
        <v>8970.4944099001586</v>
      </c>
    </row>
    <row r="281" spans="1:11">
      <c r="A281">
        <v>70284.06</v>
      </c>
      <c r="B281">
        <v>9109</v>
      </c>
      <c r="C281">
        <v>4.0000000000000001E-3</v>
      </c>
      <c r="D281">
        <v>23</v>
      </c>
      <c r="E281">
        <v>87</v>
      </c>
      <c r="F281">
        <v>3.65</v>
      </c>
      <c r="G281">
        <v>0</v>
      </c>
      <c r="H281">
        <v>3.7</v>
      </c>
      <c r="I281">
        <v>761122.42</v>
      </c>
      <c r="J281">
        <f>95006.4+(1.18561*A281)+(27.858*B281)+(-72102*C281)+(3084.08*D281)+(2989.33*E281)+(-2890.2*F281)+(12984.1*G281)+(10433.9*H281)</f>
        <v>790867.74837659998</v>
      </c>
      <c r="K281">
        <f>I281-J281</f>
        <v>-29745.328376599937</v>
      </c>
    </row>
    <row r="282" spans="1:11">
      <c r="A282">
        <v>45940.39</v>
      </c>
      <c r="B282">
        <v>4022</v>
      </c>
      <c r="C282">
        <v>6.9000000000000006E-2</v>
      </c>
      <c r="D282">
        <v>10</v>
      </c>
      <c r="E282">
        <v>83</v>
      </c>
      <c r="F282">
        <v>1.23</v>
      </c>
      <c r="G282">
        <v>1</v>
      </c>
      <c r="H282">
        <v>3.8</v>
      </c>
      <c r="I282">
        <v>524899.56999999995</v>
      </c>
      <c r="J282">
        <f>95006.4+(1.18561*A282)+(27.858*B282)+(-72102*C282)+(3084.08*D282)+(2989.33*E282)+(-2890.2*F282)+(12984.1*G282)+(10433.9*H282)</f>
        <v>584576.78778789984</v>
      </c>
      <c r="K282">
        <f>I282-J282</f>
        <v>-59677.217787899892</v>
      </c>
    </row>
    <row r="283" spans="1:11">
      <c r="A283">
        <v>34771.26</v>
      </c>
      <c r="B283">
        <v>4355</v>
      </c>
      <c r="C283">
        <v>5.0999999999999997E-2</v>
      </c>
      <c r="D283">
        <v>15</v>
      </c>
      <c r="E283">
        <v>87.9</v>
      </c>
      <c r="F283">
        <v>3.09</v>
      </c>
      <c r="G283">
        <v>0</v>
      </c>
      <c r="H283">
        <v>4</v>
      </c>
      <c r="I283">
        <v>555557.77</v>
      </c>
      <c r="J283">
        <f>95006.4+(1.18561*A283)+(27.858*B283)+(-72102*C283)+(3084.08*D283)+(2989.33*E283)+(-2890.2*F283)+(12984.1*G283)+(10433.9*H283)</f>
        <v>595704.13056860003</v>
      </c>
      <c r="K283">
        <f>I283-J283</f>
        <v>-40146.360568600008</v>
      </c>
    </row>
    <row r="284" spans="1:11">
      <c r="A284">
        <v>66104.19</v>
      </c>
      <c r="B284">
        <v>5745</v>
      </c>
      <c r="C284">
        <v>7.0000000000000007E-2</v>
      </c>
      <c r="D284">
        <v>17</v>
      </c>
      <c r="E284">
        <v>95.8</v>
      </c>
      <c r="F284">
        <v>3.15</v>
      </c>
      <c r="G284">
        <v>0</v>
      </c>
      <c r="H284">
        <v>4</v>
      </c>
      <c r="I284">
        <v>714083.68</v>
      </c>
      <c r="J284">
        <f>95006.4+(1.18561*A284)+(27.858*B284)+(-72102*C284)+(3084.08*D284)+(2989.33*E284)+(-2890.2*F284)+(12984.1*G284)+(10433.9*H284)</f>
        <v>699815.90270589991</v>
      </c>
      <c r="K284">
        <f>I284-J284</f>
        <v>14267.777294100146</v>
      </c>
    </row>
    <row r="285" spans="1:11">
      <c r="A285">
        <v>18599.21</v>
      </c>
      <c r="B285">
        <v>3027</v>
      </c>
      <c r="C285">
        <v>0.122</v>
      </c>
      <c r="D285">
        <v>11</v>
      </c>
      <c r="E285">
        <v>80.900000000000006</v>
      </c>
      <c r="F285">
        <v>6.44</v>
      </c>
      <c r="G285">
        <v>0</v>
      </c>
      <c r="H285">
        <v>4.2</v>
      </c>
      <c r="I285">
        <v>497439.82</v>
      </c>
      <c r="J285">
        <f>95006.4+(1.18561*A285)+(27.858*B285)+(-72102*C285)+(3084.08*D285)+(2989.33*E285)+(-2890.2*F285)+(12984.1*G285)+(10433.9*H285)</f>
        <v>493558.70036810002</v>
      </c>
      <c r="K285">
        <f>I285-J285</f>
        <v>3881.1196318999864</v>
      </c>
    </row>
    <row r="286" spans="1:11">
      <c r="A286">
        <v>60183.06</v>
      </c>
      <c r="B286">
        <v>5562</v>
      </c>
      <c r="C286">
        <v>8.9999999999999993E-3</v>
      </c>
      <c r="D286">
        <v>13</v>
      </c>
      <c r="E286">
        <v>86.3</v>
      </c>
      <c r="F286">
        <v>0.2</v>
      </c>
      <c r="G286">
        <v>1</v>
      </c>
      <c r="H286">
        <v>4.5</v>
      </c>
      <c r="I286">
        <v>636775.66</v>
      </c>
      <c r="J286">
        <f>95006.4+(1.18561*A286)+(27.858*B286)+(-72102*C286)+(3084.08*D286)+(2989.33*E286)+(-2890.2*F286)+(12984.1*G286)+(10433.9*H286)</f>
        <v>678088.14476659999</v>
      </c>
      <c r="K286">
        <f>I286-J286</f>
        <v>-41312.484766599955</v>
      </c>
    </row>
    <row r="287" spans="1:11">
      <c r="A287">
        <v>74539.14</v>
      </c>
      <c r="B287">
        <v>4487</v>
      </c>
      <c r="C287">
        <v>0.14000000000000001</v>
      </c>
      <c r="D287">
        <v>10</v>
      </c>
      <c r="E287">
        <v>90.4</v>
      </c>
      <c r="F287">
        <v>0.59</v>
      </c>
      <c r="G287">
        <v>0</v>
      </c>
      <c r="H287">
        <v>4.5</v>
      </c>
      <c r="I287">
        <v>633009.53</v>
      </c>
      <c r="J287">
        <f>95006.4+(1.18561*A287)+(27.858*B287)+(-72102*C287)+(3084.08*D287)+(2989.33*E287)+(-2890.2*F287)+(12984.1*G287)+(10433.9*H287)</f>
        <v>644608.87977540004</v>
      </c>
      <c r="K287">
        <f>I287-J287</f>
        <v>-11599.349775400013</v>
      </c>
    </row>
    <row r="288" spans="1:11">
      <c r="A288">
        <v>55371.97</v>
      </c>
      <c r="B288">
        <v>4162</v>
      </c>
      <c r="C288">
        <v>0.183</v>
      </c>
      <c r="D288">
        <v>11</v>
      </c>
      <c r="E288">
        <v>92</v>
      </c>
      <c r="F288">
        <v>0.2</v>
      </c>
      <c r="G288">
        <v>1</v>
      </c>
      <c r="H288">
        <v>4.2</v>
      </c>
      <c r="I288">
        <v>609949</v>
      </c>
      <c r="J288">
        <f>95006.4+(1.18561*A288)+(27.858*B288)+(-72102*C288)+(3084.08*D288)+(2989.33*E288)+(-2890.2*F288)+(12984.1*G288)+(10433.9*H288)</f>
        <v>628577.9713516999</v>
      </c>
      <c r="K288">
        <f>I288-J288</f>
        <v>-18628.971351699904</v>
      </c>
    </row>
    <row r="289" spans="1:11">
      <c r="A289">
        <v>40928.69</v>
      </c>
      <c r="B289">
        <v>4094</v>
      </c>
      <c r="C289">
        <v>0.17399999999999999</v>
      </c>
      <c r="D289">
        <v>13</v>
      </c>
      <c r="E289">
        <v>82.4</v>
      </c>
      <c r="F289">
        <v>1.36</v>
      </c>
      <c r="G289">
        <v>0</v>
      </c>
      <c r="H289">
        <v>4.8</v>
      </c>
      <c r="I289">
        <v>548103.69999999995</v>
      </c>
      <c r="J289">
        <f>95006.4+(1.18561*A289)+(27.858*B289)+(-72102*C289)+(3084.08*D289)+(2989.33*E289)+(-2890.2*F289)+(12984.1*G289)+(10433.9*H289)</f>
        <v>577602.64815089991</v>
      </c>
      <c r="K289">
        <f>I289-J289</f>
        <v>-29498.94815089996</v>
      </c>
    </row>
    <row r="290" spans="1:11">
      <c r="A290">
        <v>70012.41</v>
      </c>
      <c r="B290">
        <v>8484</v>
      </c>
      <c r="C290">
        <v>0.27300000000000002</v>
      </c>
      <c r="D290">
        <v>23</v>
      </c>
      <c r="E290">
        <v>72.900000000000006</v>
      </c>
      <c r="F290">
        <v>3.34</v>
      </c>
      <c r="G290">
        <v>0</v>
      </c>
      <c r="H290">
        <v>3.7</v>
      </c>
      <c r="I290">
        <v>729424.42</v>
      </c>
      <c r="J290">
        <f>95006.4+(1.18561*A290)+(27.858*B290)+(-72102*C290)+(3084.08*D290)+(2989.33*E290)+(-2890.2*F290)+(12984.1*G290)+(10433.9*H290)</f>
        <v>712485.39842009998</v>
      </c>
      <c r="K290">
        <f>I290-J290</f>
        <v>16939.021579900058</v>
      </c>
    </row>
    <row r="291" spans="1:11">
      <c r="A291">
        <v>68909.259999999995</v>
      </c>
      <c r="B291">
        <v>7794</v>
      </c>
      <c r="C291">
        <v>0.28399999999999997</v>
      </c>
      <c r="D291">
        <v>22</v>
      </c>
      <c r="E291">
        <v>89</v>
      </c>
      <c r="F291">
        <v>0.33</v>
      </c>
      <c r="G291">
        <v>0</v>
      </c>
      <c r="H291">
        <v>4</v>
      </c>
      <c r="I291">
        <v>696261.49</v>
      </c>
      <c r="J291">
        <f>95006.4+(1.18561*A291)+(27.858*B291)+(-72102*C291)+(3084.08*D291)+(2989.33*E291)+(-2890.2*F291)+(12984.1*G291)+(10433.9*H291)</f>
        <v>748036.15574860002</v>
      </c>
      <c r="K291">
        <f>I291-J291</f>
        <v>-51774.665748600033</v>
      </c>
    </row>
    <row r="292" spans="1:11">
      <c r="A292">
        <v>56737.3</v>
      </c>
      <c r="B292">
        <v>8300</v>
      </c>
      <c r="C292">
        <v>3.2000000000000001E-2</v>
      </c>
      <c r="D292">
        <v>21</v>
      </c>
      <c r="E292">
        <v>83.2</v>
      </c>
      <c r="F292">
        <v>3.44</v>
      </c>
      <c r="G292">
        <v>1</v>
      </c>
      <c r="H292">
        <v>4.3</v>
      </c>
      <c r="I292">
        <v>813316.71</v>
      </c>
      <c r="J292">
        <f>95006.4+(1.18561*A292)+(27.858*B292)+(-72102*C292)+(3084.08*D292)+(2989.33*E292)+(-2890.2*F292)+(12984.1*G292)+(10433.9*H292)</f>
        <v>752574.36425300001</v>
      </c>
      <c r="K292">
        <f>I292-J292</f>
        <v>60742.345746999956</v>
      </c>
    </row>
    <row r="293" spans="1:11">
      <c r="A293">
        <v>54080.91</v>
      </c>
      <c r="B293">
        <v>7083</v>
      </c>
      <c r="C293">
        <v>0</v>
      </c>
      <c r="D293">
        <v>15</v>
      </c>
      <c r="E293">
        <v>97</v>
      </c>
      <c r="F293">
        <v>5.33</v>
      </c>
      <c r="G293">
        <v>0</v>
      </c>
      <c r="H293">
        <v>4.0999999999999996</v>
      </c>
      <c r="I293">
        <v>702068.92</v>
      </c>
      <c r="J293">
        <f>95006.4+(1.18561*A293)+(27.858*B293)+(-72102*C293)+(3084.08*D293)+(2989.33*E293)+(-2890.2*F293)+(12984.1*G293)+(10433.9*H293)</f>
        <v>720043.91570510005</v>
      </c>
      <c r="K293">
        <f>I293-J293</f>
        <v>-17974.995705100009</v>
      </c>
    </row>
    <row r="294" spans="1:11">
      <c r="A294">
        <v>51996.32</v>
      </c>
      <c r="B294">
        <v>3834</v>
      </c>
      <c r="C294">
        <v>9.6000000000000002E-2</v>
      </c>
      <c r="D294">
        <v>8</v>
      </c>
      <c r="E294">
        <v>86.7</v>
      </c>
      <c r="F294">
        <v>6.04</v>
      </c>
      <c r="G294">
        <v>0</v>
      </c>
      <c r="H294">
        <v>4.5</v>
      </c>
      <c r="I294">
        <v>546223.69999999995</v>
      </c>
      <c r="J294">
        <f>95006.4+(1.18561*A294)+(27.858*B294)+(-72102*C294)+(3084.08*D294)+(2989.33*E294)+(-2890.2*F294)+(12984.1*G294)+(10433.9*H294)</f>
        <v>569882.82995519997</v>
      </c>
      <c r="K294">
        <f>I294-J294</f>
        <v>-23659.129955200013</v>
      </c>
    </row>
    <row r="295" spans="1:11">
      <c r="A295">
        <v>40102.879999999997</v>
      </c>
      <c r="B295">
        <v>2358</v>
      </c>
      <c r="C295">
        <v>0.11899999999999999</v>
      </c>
      <c r="D295">
        <v>9</v>
      </c>
      <c r="E295">
        <v>88.7</v>
      </c>
      <c r="F295">
        <v>1.6</v>
      </c>
      <c r="G295">
        <v>0</v>
      </c>
      <c r="H295">
        <v>4.2</v>
      </c>
      <c r="I295">
        <v>533121.26</v>
      </c>
      <c r="J295">
        <f>95006.4+(1.18561*A295)+(27.858*B295)+(-72102*C295)+(3084.08*D295)+(2989.33*E295)+(-2890.2*F295)+(12984.1*G295)+(10433.9*H295)</f>
        <v>531770.15255679993</v>
      </c>
      <c r="K295">
        <f>I295-J295</f>
        <v>1351.1074432000751</v>
      </c>
    </row>
    <row r="296" spans="1:11">
      <c r="A296">
        <v>59825.51</v>
      </c>
      <c r="B296">
        <v>1231</v>
      </c>
      <c r="C296">
        <v>0.214</v>
      </c>
      <c r="D296">
        <v>10</v>
      </c>
      <c r="E296">
        <v>84.8</v>
      </c>
      <c r="F296">
        <v>8.9600000000000009</v>
      </c>
      <c r="G296">
        <v>0</v>
      </c>
      <c r="H296">
        <v>4.7</v>
      </c>
      <c r="I296">
        <v>498970.32</v>
      </c>
      <c r="J296">
        <f>95006.4+(1.18561*A296)+(27.858*B296)+(-72102*C296)+(3084.08*D296)+(2989.33*E296)+(-2890.2*F296)+(12984.1*G296)+(10433.9*H296)</f>
        <v>492278.61491110001</v>
      </c>
      <c r="K296">
        <f>I296-J296</f>
        <v>6691.7050888999947</v>
      </c>
    </row>
    <row r="297" spans="1:11">
      <c r="A297">
        <v>27398.28</v>
      </c>
      <c r="B297">
        <v>1723</v>
      </c>
      <c r="C297">
        <v>0.17100000000000001</v>
      </c>
      <c r="D297">
        <v>9</v>
      </c>
      <c r="E297">
        <v>81</v>
      </c>
      <c r="F297">
        <v>0.74</v>
      </c>
      <c r="G297">
        <v>0</v>
      </c>
      <c r="H297">
        <v>4.5999999999999996</v>
      </c>
      <c r="I297">
        <v>487738.26</v>
      </c>
      <c r="J297">
        <f>95006.4+(1.18561*A297)+(27.858*B297)+(-72102*C297)+(3084.08*D297)+(2989.33*E297)+(-2890.2*F297)+(12984.1*G297)+(10433.9*H297)</f>
        <v>478909.60875079996</v>
      </c>
      <c r="K297">
        <f>I297-J297</f>
        <v>8828.6512492000475</v>
      </c>
    </row>
    <row r="298" spans="1:11">
      <c r="A298">
        <v>55599.56</v>
      </c>
      <c r="B298">
        <v>5896</v>
      </c>
      <c r="C298">
        <v>3.5999999999999997E-2</v>
      </c>
      <c r="D298">
        <v>12</v>
      </c>
      <c r="E298">
        <v>93.1</v>
      </c>
      <c r="F298">
        <v>6.13</v>
      </c>
      <c r="G298">
        <v>0</v>
      </c>
      <c r="H298">
        <v>3.3</v>
      </c>
      <c r="I298">
        <v>668459.37</v>
      </c>
      <c r="J298">
        <f>95006.4+(1.18561*A298)+(27.858*B298)+(-72102*C298)+(3084.08*D298)+(2989.33*E298)+(-2890.2*F298)+(12984.1*G298)+(10433.9*H298)</f>
        <v>654611.41733159998</v>
      </c>
      <c r="K298">
        <f>I298-J298</f>
        <v>13847.952668400016</v>
      </c>
    </row>
    <row r="299" spans="1:11">
      <c r="A299">
        <v>55477.61</v>
      </c>
      <c r="B299">
        <v>5903</v>
      </c>
      <c r="C299">
        <v>0.10199999999999999</v>
      </c>
      <c r="D299">
        <v>14</v>
      </c>
      <c r="E299">
        <v>96.2</v>
      </c>
      <c r="F299">
        <v>1.41</v>
      </c>
      <c r="G299">
        <v>0</v>
      </c>
      <c r="H299">
        <v>3.3</v>
      </c>
      <c r="I299">
        <v>763162.45</v>
      </c>
      <c r="J299">
        <f>95006.4+(1.18561*A299)+(27.858*B299)+(-72102*C299)+(3084.08*D299)+(2989.33*E299)+(-2890.2*F299)+(12984.1*G299)+(10433.9*H299)</f>
        <v>678979.93319209991</v>
      </c>
      <c r="K299">
        <f>I299-J299</f>
        <v>84182.516807900043</v>
      </c>
    </row>
    <row r="300" spans="1:11">
      <c r="A300">
        <v>46174.7</v>
      </c>
      <c r="B300">
        <v>4898</v>
      </c>
      <c r="C300">
        <v>0.114</v>
      </c>
      <c r="D300">
        <v>11</v>
      </c>
      <c r="E300">
        <v>91.7</v>
      </c>
      <c r="F300">
        <v>3.75</v>
      </c>
      <c r="G300">
        <v>0</v>
      </c>
      <c r="H300">
        <v>3.1</v>
      </c>
      <c r="I300">
        <v>599017.32999999996</v>
      </c>
      <c r="J300">
        <f>95006.4+(1.18561*A300)+(27.858*B300)+(-72102*C300)+(3084.08*D300)+(2989.33*E300)+(-2890.2*F300)+(12984.1*G300)+(10433.9*H300)</f>
        <v>607533.72306699993</v>
      </c>
      <c r="K300">
        <f>I300-J300</f>
        <v>-8516.3930669999681</v>
      </c>
    </row>
    <row r="301" spans="1:11">
      <c r="A301">
        <v>24362.98</v>
      </c>
      <c r="B301">
        <v>1462</v>
      </c>
      <c r="C301">
        <v>0.11700000000000001</v>
      </c>
      <c r="D301">
        <v>6</v>
      </c>
      <c r="E301">
        <v>89.3</v>
      </c>
      <c r="F301">
        <v>15.06</v>
      </c>
      <c r="G301">
        <v>0</v>
      </c>
      <c r="H301">
        <v>3.2</v>
      </c>
      <c r="I301">
        <v>401582.58</v>
      </c>
      <c r="J301">
        <f>95006.4+(1.18561*A301)+(27.858*B301)+(-72102*C301)+(3084.08*D301)+(2989.33*E301)+(-2890.2*F301)+(12984.1*G301)+(10433.9*H301)</f>
        <v>431497.57171779999</v>
      </c>
      <c r="K301">
        <f>I301-J301</f>
        <v>-29914.991717799974</v>
      </c>
    </row>
    <row r="302" spans="1:11">
      <c r="A302">
        <v>40647.67</v>
      </c>
      <c r="B302">
        <v>8252</v>
      </c>
      <c r="C302">
        <v>0.14099999999999999</v>
      </c>
      <c r="D302">
        <v>22</v>
      </c>
      <c r="E302">
        <v>88.2</v>
      </c>
      <c r="F302">
        <v>5.07</v>
      </c>
      <c r="G302">
        <v>1</v>
      </c>
      <c r="H302">
        <v>4.0999999999999996</v>
      </c>
      <c r="I302">
        <v>703812.99</v>
      </c>
      <c r="J302">
        <f>95006.4+(1.18561*A302)+(27.858*B302)+(-72102*C302)+(3084.08*D302)+(2989.33*E302)+(-2890.2*F302)+(12984.1*G302)+(10433.9*H302)</f>
        <v>735534.96002869995</v>
      </c>
      <c r="K302">
        <f>I302-J302</f>
        <v>-31721.970028699958</v>
      </c>
    </row>
    <row r="303" spans="1:11">
      <c r="A303">
        <v>63986.98</v>
      </c>
      <c r="B303">
        <v>7989</v>
      </c>
      <c r="C303">
        <v>7.3999999999999996E-2</v>
      </c>
      <c r="D303">
        <v>20</v>
      </c>
      <c r="E303">
        <v>83.3</v>
      </c>
      <c r="F303">
        <v>3.6</v>
      </c>
      <c r="G303">
        <v>0</v>
      </c>
      <c r="H303">
        <v>3.7</v>
      </c>
      <c r="I303">
        <v>724346.73</v>
      </c>
      <c r="J303">
        <f>95006.4+(1.18561*A303)+(27.858*B303)+(-72102*C303)+(3084.08*D303)+(2989.33*E303)+(-2890.2*F303)+(12984.1*G303)+(10433.9*H303)</f>
        <v>726985.51635779999</v>
      </c>
      <c r="K303">
        <f>I303-J303</f>
        <v>-2638.7863578000106</v>
      </c>
    </row>
    <row r="304" spans="1:11">
      <c r="A304">
        <v>52843.75</v>
      </c>
      <c r="B304">
        <v>8268</v>
      </c>
      <c r="C304">
        <v>0.13800000000000001</v>
      </c>
      <c r="D304">
        <v>19</v>
      </c>
      <c r="E304">
        <v>87.3</v>
      </c>
      <c r="F304">
        <v>4.3899999999999997</v>
      </c>
      <c r="G304">
        <v>1</v>
      </c>
      <c r="H304">
        <v>4.7</v>
      </c>
      <c r="I304">
        <v>730890.01</v>
      </c>
      <c r="J304">
        <f>95006.4+(1.18561*A304)+(27.858*B304)+(-72102*C304)+(3084.08*D304)+(2989.33*E304)+(-2890.2*F304)+(12984.1*G304)+(10433.9*H304)</f>
        <v>746939.82743749989</v>
      </c>
      <c r="K304">
        <f>I304-J304</f>
        <v>-16049.817437499878</v>
      </c>
    </row>
    <row r="305" spans="1:11">
      <c r="A305">
        <v>31997.25</v>
      </c>
      <c r="B305">
        <v>8183</v>
      </c>
      <c r="C305">
        <v>0.19800000000000001</v>
      </c>
      <c r="D305">
        <v>18</v>
      </c>
      <c r="E305">
        <v>93</v>
      </c>
      <c r="F305">
        <v>2.79</v>
      </c>
      <c r="G305">
        <v>0</v>
      </c>
      <c r="H305">
        <v>4.2</v>
      </c>
      <c r="I305">
        <v>780580.95</v>
      </c>
      <c r="J305">
        <f>95006.4+(1.18561*A305)+(27.858*B305)+(-72102*C305)+(3084.08*D305)+(2989.33*E305)+(-2890.2*F305)+(12984.1*G305)+(10433.9*H305)</f>
        <v>715908.32957249996</v>
      </c>
      <c r="K305">
        <f>I305-J305</f>
        <v>64672.620427499991</v>
      </c>
    </row>
    <row r="306" spans="1:11">
      <c r="A306">
        <v>54948.02</v>
      </c>
      <c r="B306">
        <v>6534</v>
      </c>
      <c r="C306">
        <v>0.183</v>
      </c>
      <c r="D306">
        <v>14</v>
      </c>
      <c r="E306">
        <v>94.5</v>
      </c>
      <c r="F306">
        <v>1.56</v>
      </c>
      <c r="G306">
        <v>0</v>
      </c>
      <c r="H306">
        <v>4</v>
      </c>
      <c r="I306">
        <v>727957.48</v>
      </c>
      <c r="J306">
        <f>95006.4+(1.18561*A306)+(27.858*B306)+(-72102*C306)+(3084.08*D306)+(2989.33*E306)+(-2890.2*F306)+(12984.1*G306)+(10433.9*H306)</f>
        <v>691878.52099220001</v>
      </c>
      <c r="K306">
        <f>I306-J306</f>
        <v>36078.959007799975</v>
      </c>
    </row>
    <row r="307" spans="1:11">
      <c r="A307">
        <v>46146.239999999998</v>
      </c>
      <c r="B307">
        <v>5804</v>
      </c>
      <c r="C307">
        <v>4.7E-2</v>
      </c>
      <c r="D307">
        <v>16</v>
      </c>
      <c r="E307">
        <v>86.9</v>
      </c>
      <c r="F307">
        <v>15.82</v>
      </c>
      <c r="G307">
        <v>0</v>
      </c>
      <c r="H307">
        <v>3.8</v>
      </c>
      <c r="I307">
        <v>538376</v>
      </c>
      <c r="J307">
        <f>95006.4+(1.18561*A307)+(27.858*B307)+(-72102*C307)+(3084.08*D307)+(2989.33*E307)+(-2890.2*F307)+(12984.1*G307)+(10433.9*H307)</f>
        <v>611060.79460639996</v>
      </c>
      <c r="K307">
        <f>I307-J307</f>
        <v>-72684.794606399955</v>
      </c>
    </row>
    <row r="308" spans="1:11">
      <c r="A308">
        <v>22387.26</v>
      </c>
      <c r="B308">
        <v>6301</v>
      </c>
      <c r="C308">
        <v>0.14599999999999999</v>
      </c>
      <c r="D308">
        <v>14</v>
      </c>
      <c r="E308">
        <v>85.9</v>
      </c>
      <c r="F308">
        <v>1.17</v>
      </c>
      <c r="G308">
        <v>1</v>
      </c>
      <c r="H308">
        <v>3.7</v>
      </c>
      <c r="I308">
        <v>665342.49</v>
      </c>
      <c r="J308">
        <f>95006.4+(1.18561*A308)+(27.858*B308)+(-72102*C308)+(3084.08*D308)+(2989.33*E308)+(-2890.2*F308)+(12984.1*G308)+(10433.9*H308)</f>
        <v>634723.88832860009</v>
      </c>
      <c r="K308">
        <f>I308-J308</f>
        <v>30618.601671399898</v>
      </c>
    </row>
    <row r="309" spans="1:11">
      <c r="A309">
        <v>60684.05</v>
      </c>
      <c r="B309">
        <v>6399</v>
      </c>
      <c r="C309">
        <v>7.4999999999999997E-2</v>
      </c>
      <c r="D309">
        <v>16</v>
      </c>
      <c r="E309">
        <v>99</v>
      </c>
      <c r="F309">
        <v>3.82</v>
      </c>
      <c r="G309">
        <v>0</v>
      </c>
      <c r="H309">
        <v>3.5</v>
      </c>
      <c r="I309">
        <v>651164.18000000005</v>
      </c>
      <c r="J309">
        <f>95006.4+(1.18561*A309)+(27.858*B309)+(-72102*C309)+(3084.08*D309)+(2989.33*E309)+(-2890.2*F309)+(12984.1*G309)+(10433.9*H309)</f>
        <v>710576.74452049995</v>
      </c>
      <c r="K309">
        <f>I309-J309</f>
        <v>-59412.564520499902</v>
      </c>
    </row>
    <row r="310" spans="1:11">
      <c r="A310">
        <v>48465.599999999999</v>
      </c>
      <c r="B310">
        <v>5759</v>
      </c>
      <c r="C310">
        <v>0.154</v>
      </c>
      <c r="D310">
        <v>13</v>
      </c>
      <c r="E310">
        <v>87.5</v>
      </c>
      <c r="F310">
        <v>4.1399999999999997</v>
      </c>
      <c r="G310">
        <v>0</v>
      </c>
      <c r="H310">
        <v>4</v>
      </c>
      <c r="I310">
        <v>628538.30000000005</v>
      </c>
      <c r="J310">
        <f>95006.4+(1.18561*A310)+(27.858*B310)+(-72102*C310)+(3084.08*D310)+(2989.33*E310)+(-2890.2*F310)+(12984.1*G310)+(10433.9*H310)</f>
        <v>633227.8010160001</v>
      </c>
      <c r="K310">
        <f>I310-J310</f>
        <v>-4689.5010160000529</v>
      </c>
    </row>
    <row r="311" spans="1:11">
      <c r="A311">
        <v>23702.38</v>
      </c>
      <c r="B311">
        <v>5285</v>
      </c>
      <c r="C311">
        <v>0.16700000000000001</v>
      </c>
      <c r="D311">
        <v>14</v>
      </c>
      <c r="E311">
        <v>79.7</v>
      </c>
      <c r="F311">
        <v>1.1000000000000001</v>
      </c>
      <c r="G311">
        <v>0</v>
      </c>
      <c r="H311">
        <v>4.3</v>
      </c>
      <c r="I311">
        <v>536524.84</v>
      </c>
      <c r="J311">
        <f>95006.4+(1.18561*A311)+(27.858*B311)+(-72102*C311)+(3084.08*D311)+(2989.33*E311)+(-2890.2*F311)+(12984.1*G311)+(10433.9*H311)</f>
        <v>581409.94575180009</v>
      </c>
      <c r="K311">
        <f>I311-J311</f>
        <v>-44885.105751800118</v>
      </c>
    </row>
    <row r="312" spans="1:11">
      <c r="A312">
        <v>54322.94</v>
      </c>
      <c r="B312">
        <v>5434</v>
      </c>
      <c r="C312">
        <v>0.2</v>
      </c>
      <c r="D312">
        <v>13</v>
      </c>
      <c r="E312">
        <v>85.7</v>
      </c>
      <c r="F312">
        <v>10.6</v>
      </c>
      <c r="G312">
        <v>0</v>
      </c>
      <c r="H312">
        <v>4.2</v>
      </c>
      <c r="I312">
        <v>621677.30000000005</v>
      </c>
      <c r="J312">
        <f>95006.4+(1.18561*A312)+(27.858*B312)+(-72102*C312)+(3084.08*D312)+(2989.33*E312)+(-2890.2*F312)+(12984.1*G312)+(10433.9*H312)</f>
        <v>605837.07389339991</v>
      </c>
      <c r="K312">
        <f>I312-J312</f>
        <v>15840.226106600137</v>
      </c>
    </row>
    <row r="313" spans="1:11">
      <c r="A313">
        <v>86026.58</v>
      </c>
      <c r="B313">
        <v>7479</v>
      </c>
      <c r="C313">
        <v>0.14199999999999999</v>
      </c>
      <c r="D313">
        <v>20</v>
      </c>
      <c r="E313">
        <v>89</v>
      </c>
      <c r="F313">
        <v>0.9</v>
      </c>
      <c r="G313">
        <v>0</v>
      </c>
      <c r="H313">
        <f>3.924</f>
        <v>3.9239999999999999</v>
      </c>
      <c r="I313">
        <v>771129.07</v>
      </c>
      <c r="J313">
        <f>95006.4+(1.18561*A313)+(27.858*B313)+(-72102*C313)+(3084.08*D313)+(2989.33*E313)+(-2890.2*F313)+(12984.1*G313)+(10433.9*H313)</f>
        <v>761185.28511379997</v>
      </c>
      <c r="K313">
        <f>I313-J313</f>
        <v>9943.784886199981</v>
      </c>
    </row>
    <row r="314" spans="1:11">
      <c r="A314">
        <v>78967.520000000004</v>
      </c>
      <c r="B314">
        <v>6164</v>
      </c>
      <c r="C314">
        <v>2.1000000000000001E-2</v>
      </c>
      <c r="D314">
        <v>16</v>
      </c>
      <c r="E314">
        <v>85.5</v>
      </c>
      <c r="F314">
        <v>0.2</v>
      </c>
      <c r="G314">
        <v>0</v>
      </c>
      <c r="H314">
        <v>3.4</v>
      </c>
      <c r="I314">
        <v>702052.47</v>
      </c>
      <c r="J314">
        <f>95006.4+(1.18561*A314)+(27.858*B314)+(-72102*C314)+(3084.08*D314)+(2989.33*E314)+(-2890.2*F314)+(12984.1*G314)+(10433.9*H314)</f>
        <v>698663.86638719996</v>
      </c>
      <c r="K314">
        <f>I314-J314</f>
        <v>3388.6036128000123</v>
      </c>
    </row>
    <row r="315" spans="1:11">
      <c r="A315">
        <v>46767.99</v>
      </c>
      <c r="B315">
        <v>7973</v>
      </c>
      <c r="C315">
        <v>0.183</v>
      </c>
      <c r="D315">
        <v>18</v>
      </c>
      <c r="E315">
        <v>94.8</v>
      </c>
      <c r="F315">
        <v>4.67</v>
      </c>
      <c r="G315">
        <v>0</v>
      </c>
      <c r="H315">
        <f>3.924</f>
        <v>3.9239999999999999</v>
      </c>
      <c r="I315">
        <v>688368.46</v>
      </c>
      <c r="J315">
        <f>95006.4+(1.18561*A315)+(27.858*B315)+(-72102*C315)+(3084.08*D315)+(2989.33*E315)+(-2890.2*F315)+(12984.1*G315)+(10433.9*H315)</f>
        <v>725719.47822389996</v>
      </c>
      <c r="K315">
        <f>I315-J315</f>
        <v>-37351.018223899999</v>
      </c>
    </row>
    <row r="316" spans="1:11">
      <c r="A316">
        <v>62507.16</v>
      </c>
      <c r="B316">
        <v>6000</v>
      </c>
      <c r="C316">
        <v>9.0999999999999998E-2</v>
      </c>
      <c r="D316">
        <v>14</v>
      </c>
      <c r="E316">
        <v>98.2</v>
      </c>
      <c r="F316">
        <v>4.38</v>
      </c>
      <c r="G316">
        <v>1</v>
      </c>
      <c r="H316">
        <v>3.9</v>
      </c>
      <c r="I316">
        <v>712375.77</v>
      </c>
      <c r="J316">
        <f>95006.4+(1.18561*A316)+(27.858*B316)+(-72102*C316)+(3084.08*D316)+(2989.33*E316)+(-2890.2*F316)+(12984.1*G316)+(10433.9*H316)</f>
        <v>707448.79196759989</v>
      </c>
      <c r="K316">
        <f>I316-J316</f>
        <v>4926.9780324001331</v>
      </c>
    </row>
    <row r="317" spans="1:11">
      <c r="A317">
        <v>66456.28</v>
      </c>
      <c r="B317">
        <v>9967</v>
      </c>
      <c r="C317">
        <v>0.108</v>
      </c>
      <c r="D317">
        <v>20</v>
      </c>
      <c r="E317">
        <v>94.7</v>
      </c>
      <c r="F317">
        <v>4.4800000000000004</v>
      </c>
      <c r="G317">
        <v>0</v>
      </c>
      <c r="H317">
        <v>4.2</v>
      </c>
      <c r="I317">
        <v>844710.67</v>
      </c>
      <c r="J317">
        <f>95006.4+(1.18561*A317)+(27.858*B317)+(-72102*C317)+(3084.08*D317)+(2989.33*E317)+(-2890.2*F317)+(12984.1*G317)+(10433.9*H317)</f>
        <v>819316.73513079993</v>
      </c>
      <c r="K317">
        <f>I317-J317</f>
        <v>25393.934869200108</v>
      </c>
    </row>
    <row r="318" spans="1:11">
      <c r="A318">
        <v>76614.320000000007</v>
      </c>
      <c r="B318">
        <v>5639</v>
      </c>
      <c r="C318">
        <v>0.17399999999999999</v>
      </c>
      <c r="D318">
        <v>15</v>
      </c>
      <c r="E318">
        <v>92.9</v>
      </c>
      <c r="F318">
        <v>1.02</v>
      </c>
      <c r="G318">
        <v>1</v>
      </c>
      <c r="H318">
        <v>4</v>
      </c>
      <c r="I318">
        <v>620264.19999999995</v>
      </c>
      <c r="J318">
        <f>95006.4+(1.18561*A318)+(27.858*B318)+(-72102*C318)+(3084.08*D318)+(2989.33*E318)+(-2890.2*F318)+(12984.1*G318)+(10433.9*H318)</f>
        <v>706128.27093519992</v>
      </c>
      <c r="K318">
        <f>I318-J318</f>
        <v>-85864.070935199969</v>
      </c>
    </row>
    <row r="319" spans="1:11">
      <c r="A319">
        <v>24088.06</v>
      </c>
      <c r="B319">
        <v>3466</v>
      </c>
      <c r="C319">
        <v>0</v>
      </c>
      <c r="D319">
        <v>11</v>
      </c>
      <c r="E319">
        <v>88</v>
      </c>
      <c r="F319">
        <v>0.2</v>
      </c>
      <c r="G319">
        <v>0</v>
      </c>
      <c r="H319">
        <v>3.8</v>
      </c>
      <c r="I319">
        <v>536845.42000000004</v>
      </c>
      <c r="J319">
        <f>95006.4+(1.18561*A319)+(27.858*B319)+(-72102*C319)+(3084.08*D319)+(2989.33*E319)+(-2890.2*F319)+(12984.1*G319)+(10433.9*H319)</f>
        <v>556177.9728166</v>
      </c>
      <c r="K319">
        <f>I319-J319</f>
        <v>-19332.552816599957</v>
      </c>
    </row>
    <row r="320" spans="1:11">
      <c r="A320">
        <v>81902.58</v>
      </c>
      <c r="B320">
        <v>7775</v>
      </c>
      <c r="C320">
        <v>0.215</v>
      </c>
      <c r="D320">
        <v>20</v>
      </c>
      <c r="E320">
        <v>85.2</v>
      </c>
      <c r="F320">
        <v>4.8899999999999997</v>
      </c>
      <c r="G320">
        <v>1</v>
      </c>
      <c r="H320">
        <v>4.2</v>
      </c>
      <c r="I320">
        <v>726776.22</v>
      </c>
      <c r="J320">
        <f>95006.4+(1.18561*A320)+(27.858*B320)+(-72102*C320)+(3084.08*D320)+(2989.33*E320)+(-2890.2*F320)+(12984.1*G320)+(10433.9*H320)</f>
        <v>752250.8558738</v>
      </c>
      <c r="K320">
        <f>I320-J320</f>
        <v>-25474.635873800027</v>
      </c>
    </row>
    <row r="321" spans="1:11">
      <c r="A321">
        <v>40553.11</v>
      </c>
      <c r="B321">
        <v>5317</v>
      </c>
      <c r="C321">
        <v>0.16500000000000001</v>
      </c>
      <c r="D321">
        <v>17</v>
      </c>
      <c r="E321">
        <v>84.3</v>
      </c>
      <c r="F321">
        <v>11.82</v>
      </c>
      <c r="G321">
        <v>0</v>
      </c>
      <c r="H321">
        <v>4.0999999999999996</v>
      </c>
      <c r="I321">
        <v>559660.84</v>
      </c>
      <c r="J321">
        <f>95006.4+(1.18561*A321)+(27.858*B321)+(-72102*C321)+(3084.08*D321)+(2989.33*E321)+(-2890.2*F321)+(12984.1*G321)+(10433.9*H321)</f>
        <v>592357.43374709995</v>
      </c>
      <c r="K321">
        <f>I321-J321</f>
        <v>-32696.593747099978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D35CD-FF68-4775-A2BA-9BE5D46D6569}">
  <dimension ref="A1"/>
  <sheetViews>
    <sheetView workbookViewId="0"/>
  </sheetViews>
  <sheetFormatPr defaultRowHeight="14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4"/>
  <cols>
    <col min="1" max="2" width="28" customWidth="1"/>
  </cols>
  <sheetData>
    <row r="1" spans="1:2" ht="18.649999999999999" customHeight="1">
      <c r="A1" s="1" t="s">
        <v>102</v>
      </c>
      <c r="B1" s="1" t="s">
        <v>103</v>
      </c>
    </row>
    <row r="2" spans="1:2">
      <c r="A2" s="3" t="s">
        <v>0</v>
      </c>
      <c r="B2" s="3" t="s">
        <v>104</v>
      </c>
    </row>
    <row r="3" spans="1:2">
      <c r="A3" s="3" t="s">
        <v>1</v>
      </c>
      <c r="B3" s="3" t="s">
        <v>105</v>
      </c>
    </row>
    <row r="4" spans="1:2">
      <c r="A4" s="3" t="s">
        <v>2</v>
      </c>
      <c r="B4" s="3" t="s">
        <v>106</v>
      </c>
    </row>
    <row r="5" spans="1:2" ht="28">
      <c r="A5" s="3" t="s">
        <v>3</v>
      </c>
      <c r="B5" s="3" t="s">
        <v>107</v>
      </c>
    </row>
    <row r="6" spans="1:2" ht="28">
      <c r="A6" s="3" t="s">
        <v>4</v>
      </c>
      <c r="B6" s="3" t="s">
        <v>108</v>
      </c>
    </row>
    <row r="7" spans="1:2">
      <c r="A7" s="3" t="s">
        <v>5</v>
      </c>
      <c r="B7" s="3" t="s">
        <v>109</v>
      </c>
    </row>
    <row r="8" spans="1:2" ht="28">
      <c r="A8" s="3" t="s">
        <v>6</v>
      </c>
      <c r="B8" s="3" t="s">
        <v>110</v>
      </c>
    </row>
    <row r="9" spans="1:2">
      <c r="A9" s="3" t="s">
        <v>7</v>
      </c>
      <c r="B9" s="3" t="s">
        <v>111</v>
      </c>
    </row>
    <row r="10" spans="1:2" ht="28">
      <c r="A10" s="3" t="s">
        <v>8</v>
      </c>
      <c r="B10" s="3" t="s">
        <v>112</v>
      </c>
    </row>
    <row r="11" spans="1:2">
      <c r="A11" s="3" t="s">
        <v>9</v>
      </c>
      <c r="B11" s="3" t="s">
        <v>113</v>
      </c>
    </row>
    <row r="12" spans="1:2" ht="42">
      <c r="A12" s="3" t="s">
        <v>10</v>
      </c>
      <c r="B12" s="3" t="s">
        <v>114</v>
      </c>
    </row>
    <row r="13" spans="1:2">
      <c r="A13" s="3" t="s">
        <v>11</v>
      </c>
      <c r="B13" s="3" t="s">
        <v>115</v>
      </c>
    </row>
    <row r="14" spans="1:2" ht="28">
      <c r="A14" s="3" t="s">
        <v>12</v>
      </c>
      <c r="B14" s="3" t="s">
        <v>116</v>
      </c>
    </row>
    <row r="15" spans="1:2" ht="28">
      <c r="A15" s="3" t="s">
        <v>13</v>
      </c>
      <c r="B15" s="3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Original data</vt:lpstr>
      <vt:lpstr>Cleaned data</vt:lpstr>
      <vt:lpstr>Simple_Regression_Output</vt:lpstr>
      <vt:lpstr>Dummy variables</vt:lpstr>
      <vt:lpstr>Multiple regression</vt:lpstr>
      <vt:lpstr>Sheet3</vt:lpstr>
      <vt:lpstr>Predictions_Residuals</vt:lpstr>
      <vt:lpstr>Model comparsion</vt:lpstr>
      <vt:lpstr>Sheet9</vt:lpstr>
      <vt:lpstr>Sheet8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2026-06-24T17:01:48Z</dcterms:created>
  <dcterms:modified xsi:type="dcterms:W3CDTF">2026-06-24T17:01:49Z</dcterms:modified>
</cp:coreProperties>
</file>